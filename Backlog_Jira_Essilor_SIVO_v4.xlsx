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1"/>
  <workbookPr/>
  <xr:revisionPtr revIDLastSave="1" documentId="11_130E0811A601EAE2BCB61ACE1C2FDE4A4F3E2660" xr6:coauthVersionLast="47" xr6:coauthVersionMax="47" xr10:uidLastSave="{8E79ECEC-A389-46EC-BB5C-DC1C76D1E54C}"/>
  <bookViews>
    <workbookView xWindow="0" yWindow="0" windowWidth="16384" windowHeight="8192" tabRatio="500" activeTab="6" xr2:uid="{00000000-000D-0000-FFFF-FFFF00000000}"/>
  </bookViews>
  <sheets>
    <sheet name="Avancement" sheetId="1" r:id="rId1"/>
    <sheet name="Rapprochement OPT" sheetId="2" r:id="rId2"/>
    <sheet name="Écarts à arbitrer" sheetId="3" r:id="rId3"/>
    <sheet name="Synthèse" sheetId="4" r:id="rId4"/>
    <sheet name="Sprints" sheetId="5" r:id="rId5"/>
    <sheet name="Backlog" sheetId="6" r:id="rId6"/>
    <sheet name="Tâches par personne" sheetId="7" r:id="rId7"/>
    <sheet name="Décisions &amp; DoD" sheetId="8" r:id="rId8"/>
    <sheet name="Changements v2" sheetId="9" r:id="rId9"/>
    <sheet name="Import Jira" sheetId="10" r:id="rId10"/>
  </sheets>
  <definedNames>
    <definedName name="_xlnm._FilterDatabase" localSheetId="5" hidden="1">Backlog!$A$1:$T$287</definedName>
    <definedName name="_xlnm._FilterDatabase" localSheetId="6" hidden="1">'Tâches par personne'!$A$3:$J$199</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197" i="7" l="1"/>
  <c r="G173" i="7"/>
  <c r="G150" i="7"/>
  <c r="G62" i="7"/>
  <c r="Q280" i="6"/>
  <c r="K280" i="6"/>
  <c r="Q277" i="6"/>
  <c r="K277" i="6"/>
  <c r="Q276" i="6"/>
  <c r="L276" i="6"/>
  <c r="K276" i="6"/>
  <c r="Q272" i="6"/>
  <c r="K272" i="6"/>
  <c r="Q268" i="6"/>
  <c r="K268" i="6"/>
  <c r="Q264" i="6"/>
  <c r="K264" i="6"/>
  <c r="Q260" i="6"/>
  <c r="K260" i="6"/>
  <c r="Q259" i="6"/>
  <c r="L259" i="6"/>
  <c r="K259" i="6"/>
  <c r="Q254" i="6"/>
  <c r="K254" i="6"/>
  <c r="Q253" i="6"/>
  <c r="L253" i="6"/>
  <c r="K253" i="6"/>
  <c r="Q249" i="6"/>
  <c r="K249" i="6"/>
  <c r="Q245" i="6"/>
  <c r="K245" i="6"/>
  <c r="Q244" i="6"/>
  <c r="L244" i="6"/>
  <c r="K244" i="6"/>
  <c r="Q242" i="6"/>
  <c r="K242" i="6"/>
  <c r="Q238" i="6"/>
  <c r="K238" i="6"/>
  <c r="Q234" i="6"/>
  <c r="K234" i="6"/>
  <c r="Q230" i="6"/>
  <c r="K230" i="6"/>
  <c r="Q226" i="6"/>
  <c r="K226" i="6"/>
  <c r="Q222" i="6"/>
  <c r="K222" i="6"/>
  <c r="Q217" i="6"/>
  <c r="K217" i="6"/>
  <c r="Q216" i="6"/>
  <c r="L216" i="6"/>
  <c r="K216" i="6"/>
  <c r="Q214" i="6"/>
  <c r="K214" i="6"/>
  <c r="Q210" i="6"/>
  <c r="K210" i="6"/>
  <c r="Q206" i="6"/>
  <c r="K206" i="6"/>
  <c r="Q203" i="6"/>
  <c r="K203" i="6"/>
  <c r="Q202" i="6"/>
  <c r="L202" i="6"/>
  <c r="K202" i="6"/>
  <c r="Q200" i="6"/>
  <c r="K200" i="6"/>
  <c r="Q197" i="6"/>
  <c r="K197" i="6"/>
  <c r="Q194" i="6"/>
  <c r="K194" i="6"/>
  <c r="Q191" i="6"/>
  <c r="K191" i="6"/>
  <c r="Q190" i="6"/>
  <c r="L190" i="6"/>
  <c r="K190" i="6"/>
  <c r="Q188" i="6"/>
  <c r="K188" i="6"/>
  <c r="Q181" i="6"/>
  <c r="K181" i="6"/>
  <c r="Q177" i="6"/>
  <c r="K177" i="6"/>
  <c r="Q176" i="6"/>
  <c r="L176" i="6"/>
  <c r="K176" i="6"/>
  <c r="Q174" i="6"/>
  <c r="K174" i="6"/>
  <c r="Q171" i="6"/>
  <c r="K171" i="6"/>
  <c r="Q165" i="6"/>
  <c r="K165" i="6"/>
  <c r="Q164" i="6"/>
  <c r="L164" i="6"/>
  <c r="K164" i="6"/>
  <c r="Q162" i="6"/>
  <c r="K162" i="6"/>
  <c r="Q159" i="6"/>
  <c r="K159" i="6"/>
  <c r="Q156" i="6"/>
  <c r="K156" i="6"/>
  <c r="Q151" i="6"/>
  <c r="K151" i="6"/>
  <c r="Q147" i="6"/>
  <c r="K147" i="6"/>
  <c r="Q146" i="6"/>
  <c r="L146" i="6"/>
  <c r="K146" i="6"/>
  <c r="Q144" i="6"/>
  <c r="K144" i="6"/>
  <c r="Q140" i="6"/>
  <c r="K140" i="6"/>
  <c r="Q136" i="6"/>
  <c r="K136" i="6"/>
  <c r="Q133" i="6"/>
  <c r="K133" i="6"/>
  <c r="Q132" i="6"/>
  <c r="L132" i="6"/>
  <c r="K132" i="6"/>
  <c r="Q130" i="6"/>
  <c r="K130" i="6"/>
  <c r="Q127" i="6"/>
  <c r="K127" i="6"/>
  <c r="Q124" i="6"/>
  <c r="K124" i="6"/>
  <c r="Q121" i="6"/>
  <c r="K121" i="6"/>
  <c r="Q118" i="6"/>
  <c r="K118" i="6"/>
  <c r="Q114" i="6"/>
  <c r="K114" i="6"/>
  <c r="Q113" i="6"/>
  <c r="L113" i="6"/>
  <c r="K113" i="6"/>
  <c r="Q111" i="6"/>
  <c r="K111" i="6"/>
  <c r="Q108" i="6"/>
  <c r="K108" i="6"/>
  <c r="Q104" i="6"/>
  <c r="K104" i="6"/>
  <c r="Q100" i="6"/>
  <c r="K100" i="6"/>
  <c r="Q96" i="6"/>
  <c r="K96" i="6"/>
  <c r="Q92" i="6"/>
  <c r="K92" i="6"/>
  <c r="Q91" i="6"/>
  <c r="L91" i="6"/>
  <c r="K91" i="6"/>
  <c r="Q89" i="6"/>
  <c r="K89" i="6"/>
  <c r="Q85" i="6"/>
  <c r="K85" i="6"/>
  <c r="Q81" i="6"/>
  <c r="K81" i="6"/>
  <c r="Q78" i="6"/>
  <c r="K78" i="6"/>
  <c r="Q74" i="6"/>
  <c r="K74" i="6"/>
  <c r="Q71" i="6"/>
  <c r="K71" i="6"/>
  <c r="Q70" i="6"/>
  <c r="L70" i="6"/>
  <c r="K70" i="6"/>
  <c r="Q65" i="6"/>
  <c r="K65" i="6"/>
  <c r="Q61" i="6"/>
  <c r="K61" i="6"/>
  <c r="Q60" i="6"/>
  <c r="L60" i="6"/>
  <c r="K60" i="6"/>
  <c r="Q55" i="6"/>
  <c r="K55" i="6"/>
  <c r="Q51" i="6"/>
  <c r="K51" i="6"/>
  <c r="Q50" i="6"/>
  <c r="L50" i="6"/>
  <c r="K50" i="6"/>
  <c r="Q47" i="6"/>
  <c r="K47" i="6"/>
  <c r="Q44" i="6"/>
  <c r="K44" i="6"/>
  <c r="Q40" i="6"/>
  <c r="K40" i="6"/>
  <c r="Q36" i="6"/>
  <c r="K36" i="6"/>
  <c r="Q35" i="6"/>
  <c r="L35" i="6"/>
  <c r="K35" i="6"/>
  <c r="Q33" i="6"/>
  <c r="K33" i="6"/>
  <c r="Q28" i="6"/>
  <c r="K28" i="6"/>
  <c r="Q27" i="6"/>
  <c r="L27" i="6"/>
  <c r="K27" i="6"/>
  <c r="Q25" i="6"/>
  <c r="K25" i="6"/>
  <c r="Q21" i="6"/>
  <c r="K21" i="6"/>
  <c r="Q17" i="6"/>
  <c r="K17" i="6"/>
  <c r="Q16" i="6"/>
  <c r="L16" i="6"/>
  <c r="K16" i="6"/>
  <c r="Q12" i="6"/>
  <c r="K12" i="6"/>
  <c r="Q9" i="6"/>
  <c r="K9" i="6"/>
  <c r="Q6" i="6"/>
  <c r="K6" i="6"/>
  <c r="Q3" i="6"/>
  <c r="K3" i="6"/>
  <c r="Q2" i="6"/>
  <c r="L2" i="6"/>
  <c r="K2" i="6"/>
  <c r="D26" i="5"/>
  <c r="J21" i="5"/>
  <c r="I21" i="5"/>
  <c r="H21" i="5"/>
  <c r="G21" i="5"/>
  <c r="F21" i="5"/>
  <c r="E21" i="5" s="1"/>
  <c r="J20" i="5"/>
  <c r="I20" i="5"/>
  <c r="H20" i="5"/>
  <c r="G20" i="5"/>
  <c r="F20" i="5"/>
  <c r="E20" i="5"/>
  <c r="L20" i="5" s="1"/>
  <c r="M20" i="5" s="1"/>
  <c r="J19" i="5"/>
  <c r="I19" i="5"/>
  <c r="H19" i="5"/>
  <c r="G19" i="5"/>
  <c r="F19" i="5"/>
  <c r="E19" i="5" s="1"/>
  <c r="J18" i="5"/>
  <c r="I18" i="5"/>
  <c r="H18" i="5"/>
  <c r="G18" i="5"/>
  <c r="F18" i="5"/>
  <c r="E18" i="5" s="1"/>
  <c r="J17" i="5"/>
  <c r="I17" i="5"/>
  <c r="H17" i="5"/>
  <c r="G17" i="5"/>
  <c r="F17" i="5"/>
  <c r="E17" i="5"/>
  <c r="L17" i="5" s="1"/>
  <c r="M17" i="5" s="1"/>
  <c r="J16" i="5"/>
  <c r="I16" i="5"/>
  <c r="H16" i="5"/>
  <c r="G16" i="5"/>
  <c r="F16" i="5"/>
  <c r="E16" i="5" s="1"/>
  <c r="J15" i="5"/>
  <c r="I15" i="5"/>
  <c r="H15" i="5"/>
  <c r="G15" i="5"/>
  <c r="F15" i="5"/>
  <c r="E15" i="5" s="1"/>
  <c r="J14" i="5"/>
  <c r="I14" i="5"/>
  <c r="H14" i="5"/>
  <c r="G14" i="5"/>
  <c r="F14" i="5"/>
  <c r="E14" i="5"/>
  <c r="L14" i="5" s="1"/>
  <c r="M14" i="5" s="1"/>
  <c r="J13" i="5"/>
  <c r="I13" i="5"/>
  <c r="H13" i="5"/>
  <c r="G13" i="5"/>
  <c r="F13" i="5"/>
  <c r="E13" i="5" s="1"/>
  <c r="J12" i="5"/>
  <c r="I12" i="5"/>
  <c r="H12" i="5"/>
  <c r="G12" i="5"/>
  <c r="F12" i="5"/>
  <c r="E12" i="5" s="1"/>
  <c r="J11" i="5"/>
  <c r="I11" i="5"/>
  <c r="H11" i="5"/>
  <c r="G11" i="5"/>
  <c r="F11" i="5"/>
  <c r="E11" i="5"/>
  <c r="L11" i="5" s="1"/>
  <c r="M11" i="5" s="1"/>
  <c r="N10" i="5"/>
  <c r="N22" i="5" s="1"/>
  <c r="J10" i="5"/>
  <c r="J22" i="5" s="1"/>
  <c r="I10" i="5"/>
  <c r="I22" i="5" s="1"/>
  <c r="H10" i="5"/>
  <c r="H22" i="5" s="1"/>
  <c r="G10" i="5"/>
  <c r="G22" i="5" s="1"/>
  <c r="F10" i="5"/>
  <c r="E10" i="5" s="1"/>
  <c r="B32" i="4"/>
  <c r="F27" i="4"/>
  <c r="D27" i="4"/>
  <c r="C27" i="4"/>
  <c r="B27" i="4"/>
  <c r="E27" i="4" s="1"/>
  <c r="F26" i="4"/>
  <c r="D26" i="4"/>
  <c r="C26" i="4"/>
  <c r="B26" i="4"/>
  <c r="E26" i="4" s="1"/>
  <c r="F25" i="4"/>
  <c r="D25" i="4"/>
  <c r="C25" i="4"/>
  <c r="B25" i="4"/>
  <c r="E25" i="4" s="1"/>
  <c r="F24" i="4"/>
  <c r="F28" i="4" s="1"/>
  <c r="D24" i="4"/>
  <c r="D28" i="4" s="1"/>
  <c r="C24" i="4"/>
  <c r="C28" i="4" s="1"/>
  <c r="B24" i="4"/>
  <c r="E24" i="4" s="1"/>
  <c r="I17" i="4"/>
  <c r="H17" i="4"/>
  <c r="G17" i="4"/>
  <c r="F17" i="4"/>
  <c r="D17" i="4"/>
  <c r="E17" i="4" s="1"/>
  <c r="C17" i="4"/>
  <c r="B17" i="4"/>
  <c r="I16" i="4"/>
  <c r="H16" i="4"/>
  <c r="G16" i="4"/>
  <c r="F16" i="4"/>
  <c r="C16" i="4"/>
  <c r="D16" i="4" s="1"/>
  <c r="E16" i="4" s="1"/>
  <c r="B16" i="4"/>
  <c r="I15" i="4"/>
  <c r="I18" i="4" s="1"/>
  <c r="H15" i="4"/>
  <c r="H18" i="4" s="1"/>
  <c r="G15" i="4"/>
  <c r="G18" i="4" s="1"/>
  <c r="F15" i="4"/>
  <c r="F18" i="4" s="1"/>
  <c r="C15" i="4"/>
  <c r="C18" i="4" s="1"/>
  <c r="B15" i="4"/>
  <c r="B18" i="4" s="1"/>
  <c r="C19" i="4" s="1"/>
  <c r="G25" i="1"/>
  <c r="F25" i="1"/>
  <c r="D25" i="1"/>
  <c r="C25" i="1"/>
  <c r="B25" i="1"/>
  <c r="H25" i="1" s="1"/>
  <c r="G24" i="1"/>
  <c r="F24" i="1"/>
  <c r="D24" i="1"/>
  <c r="C24" i="1"/>
  <c r="I24" i="1" s="1"/>
  <c r="B24" i="1"/>
  <c r="H24" i="1" s="1"/>
  <c r="G23" i="1"/>
  <c r="F23" i="1"/>
  <c r="D23" i="1"/>
  <c r="C23" i="1"/>
  <c r="B23" i="1"/>
  <c r="I23" i="1" s="1"/>
  <c r="G19" i="1"/>
  <c r="F19" i="1"/>
  <c r="D19" i="1"/>
  <c r="C19" i="1"/>
  <c r="B19" i="1"/>
  <c r="H19" i="1" s="1"/>
  <c r="G18" i="1"/>
  <c r="F18" i="1"/>
  <c r="D18" i="1"/>
  <c r="C18" i="1"/>
  <c r="I18" i="1" s="1"/>
  <c r="B18" i="1"/>
  <c r="H18" i="1" s="1"/>
  <c r="G17" i="1"/>
  <c r="F17" i="1"/>
  <c r="D17" i="1"/>
  <c r="C17" i="1"/>
  <c r="B17" i="1"/>
  <c r="I17" i="1" s="1"/>
  <c r="G16" i="1"/>
  <c r="F16" i="1"/>
  <c r="D16" i="1"/>
  <c r="C16" i="1"/>
  <c r="B16" i="1"/>
  <c r="H16" i="1" s="1"/>
  <c r="G15" i="1"/>
  <c r="F15" i="1"/>
  <c r="D15" i="1"/>
  <c r="C15" i="1"/>
  <c r="I15" i="1" s="1"/>
  <c r="B15" i="1"/>
  <c r="H15" i="1" s="1"/>
  <c r="G14" i="1"/>
  <c r="F14" i="1"/>
  <c r="D14" i="1"/>
  <c r="C14" i="1"/>
  <c r="B14" i="1"/>
  <c r="I14" i="1" s="1"/>
  <c r="G13" i="1"/>
  <c r="F13" i="1"/>
  <c r="D13" i="1"/>
  <c r="C13" i="1"/>
  <c r="B13" i="1"/>
  <c r="H13" i="1" s="1"/>
  <c r="G9" i="1"/>
  <c r="F9" i="1"/>
  <c r="D9" i="1"/>
  <c r="C9" i="1"/>
  <c r="I9" i="1" s="1"/>
  <c r="B9" i="1"/>
  <c r="H9" i="1" s="1"/>
  <c r="G8" i="1"/>
  <c r="F8" i="1"/>
  <c r="D8" i="1"/>
  <c r="C8" i="1"/>
  <c r="B8" i="1"/>
  <c r="I8" i="1" s="1"/>
  <c r="G7" i="1"/>
  <c r="F7" i="1"/>
  <c r="D7" i="1"/>
  <c r="C7" i="1"/>
  <c r="B7" i="1"/>
  <c r="H7" i="1" s="1"/>
  <c r="G6" i="1"/>
  <c r="F6" i="1"/>
  <c r="D6" i="1"/>
  <c r="C6" i="1"/>
  <c r="I6" i="1" s="1"/>
  <c r="B6" i="1"/>
  <c r="H6" i="1" s="1"/>
  <c r="E22" i="5" l="1"/>
  <c r="K10" i="5"/>
  <c r="L10" i="5"/>
  <c r="L12" i="5"/>
  <c r="M12" i="5" s="1"/>
  <c r="K12" i="5"/>
  <c r="K16" i="5"/>
  <c r="L16" i="5"/>
  <c r="M16" i="5" s="1"/>
  <c r="L21" i="5"/>
  <c r="M21" i="5" s="1"/>
  <c r="K21" i="5"/>
  <c r="E28" i="4"/>
  <c r="L15" i="5"/>
  <c r="M15" i="5" s="1"/>
  <c r="K15" i="5"/>
  <c r="K19" i="5"/>
  <c r="L19" i="5"/>
  <c r="M19" i="5" s="1"/>
  <c r="K13" i="5"/>
  <c r="L13" i="5"/>
  <c r="M13" i="5" s="1"/>
  <c r="L18" i="5"/>
  <c r="M18" i="5" s="1"/>
  <c r="K18" i="5"/>
  <c r="E14" i="1"/>
  <c r="H14" i="1"/>
  <c r="E6" i="1"/>
  <c r="I7" i="1"/>
  <c r="E9" i="1"/>
  <c r="I13" i="1"/>
  <c r="E15" i="1"/>
  <c r="I16" i="1"/>
  <c r="E18" i="1"/>
  <c r="I19" i="1"/>
  <c r="E24" i="1"/>
  <c r="I25" i="1"/>
  <c r="D15" i="4"/>
  <c r="B28" i="4"/>
  <c r="F22" i="5"/>
  <c r="E17" i="1"/>
  <c r="H17" i="1"/>
  <c r="E23" i="1"/>
  <c r="H23" i="1"/>
  <c r="K11" i="5"/>
  <c r="K14" i="5"/>
  <c r="K17" i="5"/>
  <c r="K20" i="5"/>
  <c r="E8" i="1"/>
  <c r="H8" i="1"/>
  <c r="E7" i="1"/>
  <c r="E13" i="1"/>
  <c r="E16" i="1"/>
  <c r="E19" i="1"/>
  <c r="E25" i="1"/>
  <c r="M10" i="5" l="1"/>
  <c r="L22" i="5"/>
  <c r="E15" i="4"/>
  <c r="D18" i="4"/>
  <c r="E18" i="4" s="1"/>
  <c r="K22" i="5"/>
  <c r="M22" i="5" l="1"/>
  <c r="O10" i="5"/>
  <c r="N11" i="5" s="1"/>
  <c r="O11" i="5" s="1"/>
  <c r="N12" i="5" s="1"/>
  <c r="O12" i="5" s="1"/>
  <c r="N13" i="5" s="1"/>
  <c r="O13" i="5" s="1"/>
  <c r="N14" i="5" s="1"/>
  <c r="O14" i="5" s="1"/>
  <c r="N15" i="5" s="1"/>
  <c r="O15" i="5" s="1"/>
  <c r="N16" i="5" s="1"/>
  <c r="O16" i="5" s="1"/>
  <c r="N17" i="5" s="1"/>
  <c r="O17" i="5" s="1"/>
  <c r="N18" i="5" s="1"/>
  <c r="O18" i="5" s="1"/>
  <c r="N19" i="5" s="1"/>
  <c r="O19" i="5" s="1"/>
  <c r="N20" i="5" s="1"/>
  <c r="O20" i="5" s="1"/>
  <c r="N21" i="5" s="1"/>
  <c r="O21" i="5" s="1"/>
  <c r="O22" i="5" s="1"/>
  <c r="B31" i="4" l="1"/>
  <c r="D28" i="5"/>
  <c r="B33" i="4" s="1"/>
  <c r="D25" i="5"/>
  <c r="D27" i="5"/>
  <c r="G32" i="5"/>
  <c r="H32" i="5"/>
  <c r="F32" i="5"/>
  <c r="E3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J1" authorId="0" shapeId="0" xr:uid="{00000000-0006-0000-0500-000001000000}">
      <text>
        <r>
          <rPr>
            <sz val="10"/>
            <rFont val="Arial"/>
            <family val="2"/>
          </rPr>
          <t>Sous-tâche : développeur du rôle. Story : développeur qui porte la plus grande part de la charge (responsable de la story).</t>
        </r>
      </text>
    </comment>
    <comment ref="K1" authorId="0" shapeId="0" xr:uid="{00000000-0006-0000-0500-000002000000}">
      <text>
        <r>
          <rPr>
            <sz val="10"/>
            <rFont val="Arial"/>
            <family val="2"/>
          </rPr>
          <t>Sous-tâches = saisie (bleu). Stories / Épics = sommes automatiques.</t>
        </r>
      </text>
    </comment>
    <comment ref="L1" authorId="0" shapeId="0" xr:uid="{00000000-0006-0000-0500-000003000000}">
      <text>
        <r>
          <rPr>
            <sz val="10"/>
            <rFont val="Arial"/>
            <family val="2"/>
          </rPr>
          <t>Fibonacci dérivé des J/H (≤0,5→1 ; ≤1→2 ; ≤2→3 ; ≤3→5 ; ≤5→8 ; ≤8→13). À recalibrer en planning poker.</t>
        </r>
      </text>
    </comment>
    <comment ref="O1" authorId="0" shapeId="0" xr:uid="{00000000-0006-0000-0500-000004000000}">
      <text>
        <r>
          <rPr>
            <sz val="10"/>
            <rFont val="Arial"/>
            <family val="2"/>
          </rPr>
          <t>Devis = charge couverte par le devis 27082601. À valider = ajout CDC v2 / module vendeurs, estimation PO à faire valider (avenant).</t>
        </r>
      </text>
    </comment>
  </commentList>
</comments>
</file>

<file path=xl/sharedStrings.xml><?xml version="1.0" encoding="utf-8"?>
<sst xmlns="http://schemas.openxmlformats.org/spreadsheetml/2006/main" count="6243" uniqueCount="1391">
  <si>
    <t>Avancement au 02/10/2026 — rapprochement rapports équipe ↔ product backlog</t>
  </si>
  <si>
    <t>Sources : Rapport d'activité technique Front mobile (Youssef Feki) · Référentiel d'avancement Jira OPT-101→302 (Ahmed Jmal, commits 194e90e, 8b71bae, 8b300db, 7dd0667). « En cours » compté à 50 % dans le % pondéré (hypothèse).</t>
  </si>
  <si>
    <t>Par développeur</t>
  </si>
  <si>
    <t>J/H total</t>
  </si>
  <si>
    <t>J/H Done</t>
  </si>
  <si>
    <t>J/H en cours</t>
  </si>
  <si>
    <t>J/H à faire</t>
  </si>
  <si>
    <t>Sous-tâches Done</t>
  </si>
  <si>
    <t>Sous-tâches en cours</t>
  </si>
  <si>
    <t>% Done (J/H)</t>
  </si>
  <si>
    <t>% pondéré</t>
  </si>
  <si>
    <t>Front</t>
  </si>
  <si>
    <t>Youssef Feki</t>
  </si>
  <si>
    <t>Back</t>
  </si>
  <si>
    <t>Ahmed Jmal (Back + BDD)</t>
  </si>
  <si>
    <t>IA</t>
  </si>
  <si>
    <t>Yessine Affes</t>
  </si>
  <si>
    <t>DevOps</t>
  </si>
  <si>
    <t>Heni Kenoun</t>
  </si>
  <si>
    <t>Par sprint (sprints concernés)</t>
  </si>
  <si>
    <t>S01</t>
  </si>
  <si>
    <t>S02</t>
  </si>
  <si>
    <t>S03</t>
  </si>
  <si>
    <t>S04</t>
  </si>
  <si>
    <t>S05</t>
  </si>
  <si>
    <t>S07</t>
  </si>
  <si>
    <t>S11</t>
  </si>
  <si>
    <t>Par lot</t>
  </si>
  <si>
    <t>Lot 1</t>
  </si>
  <si>
    <t>Lot 2</t>
  </si>
  <si>
    <t>Lot 3</t>
  </si>
  <si>
    <t>Lecture</t>
  </si>
  <si>
    <t>• Le Back a déjà livré le cœur du module vendeurs (prévu S02-S03) et l'authentification (S01) avant la date de début planifiée (05/10) : avance sur le Back, qui est le goulot du projet.</t>
  </si>
  <si>
    <t>• Le Front a terminé l'essentiel de S01 (socle mobile, connexion, mot de passe oublié) ; les écrans vendeurs (US-52/53/54/55) restent à faire et dépendent d'API déjà prêtes.</t>
  </si>
  <si>
    <t>• Aucun livrable DevOps (Heni Kenoun) ni IA (Yessine Affes) dans les rapports : US-10 environnements Recette / Prod et US-11 CI/CD ne sont pas commencés par le DevOps.</t>
  </si>
  <si>
    <t>• Les 5 tâches réalisées hors backlog (≈ 4,5 J/H) ont été ajoutées à la fin de l'onglet Backlog (statut Done, source « À valider »).</t>
  </si>
  <si>
    <t>Correspondance tickets de l'équipe ↔ clés du product backlog</t>
  </si>
  <si>
    <t>Réf. équipe</t>
  </si>
  <si>
    <t>Titre (rapport équipe)</t>
  </si>
  <si>
    <t>SP équipe</t>
  </si>
  <si>
    <t>Développeur</t>
  </si>
  <si>
    <t>Commit</t>
  </si>
  <si>
    <t>Clés backlog couvertes</t>
  </si>
  <si>
    <t>Verdict</t>
  </si>
  <si>
    <t>Commentaire</t>
  </si>
  <si>
    <t>OPT-101</t>
  </si>
  <si>
    <t>Infrastructure Docker, base de données &amp; rôles PostgreSQL 17</t>
  </si>
  <si>
    <t>Ahmed Jmal</t>
  </si>
  <si>
    <t>194e90e</t>
  </si>
  <si>
    <t>US-01-T3, US-04-T3, US-06-T1, US-05-T1 (partiel), US-10-T2 (partiel), US-40-T3</t>
  </si>
  <si>
    <t>Conforme + avance</t>
  </si>
  <si>
    <t>Travail d'infra de dev fait par le Back ; les environnements Recette / Prod restent au DevOps.</t>
  </si>
  <si>
    <t>OPT-102</t>
  </si>
  <si>
    <t>Authentification stateless JWT &amp; Argon2id</t>
  </si>
  <si>
    <t>US-01-T1</t>
  </si>
  <si>
    <t>Conforme</t>
  </si>
  <si>
    <t>OPT-103</t>
  </si>
  <si>
    <t>Découplage tokens / données utilisateur (/auth/me)</t>
  </si>
  <si>
    <t>8b300db</t>
  </si>
  <si>
    <t>US-01 (nouvelle sous-tâche), US-03-T2 (partiel)</t>
  </si>
  <si>
    <t>Hors backlog</t>
  </si>
  <si>
    <t>Ajouté sous US-01.</t>
  </si>
  <si>
    <t>OPT-104</t>
  </si>
  <si>
    <t>Réinitialisation de mot de passe en 3 étapes</t>
  </si>
  <si>
    <t>8b71bae</t>
  </si>
  <si>
    <t>US-02-T1</t>
  </si>
  <si>
    <t>Écart à valider</t>
  </si>
  <si>
    <t>OTP par e-mail au lieu d'un lien ; politique mot de passe 6-128 car. (faible).</t>
  </si>
  <si>
    <t>OPT-105</t>
  </si>
  <si>
    <t>Double rate limiting &amp; anti-énumération</t>
  </si>
  <si>
    <t>US-09-T3</t>
  </si>
  <si>
    <t>Pas de temporisation du compte après 5 échecs (critère backlog).</t>
  </si>
  <si>
    <t>OPT-201</t>
  </si>
  <si>
    <t>Cycle de vie des statuts vendeurs</t>
  </si>
  <si>
    <t>7dd0667</t>
  </si>
  <si>
    <t>US-52-T1, US-52-T2</t>
  </si>
  <si>
    <t>OPT-202</t>
  </si>
  <si>
    <t>Affectations multi-sites &amp; historisation</t>
  </si>
  <si>
    <t>US-53-T1 + nouvelle sous-tâche US-53</t>
  </si>
  <si>
    <t>Conforme + plus</t>
  </si>
  <si>
    <t>Historique daté non prévu au backlog.</t>
  </si>
  <si>
    <t>OPT-203</t>
  </si>
  <si>
    <t>Planning ISO 7 jours &amp; fuseaux IANA</t>
  </si>
  <si>
    <t>US-54-T1, US-54-T2</t>
  </si>
  <si>
    <t>Tranche la question ouverte : planning par affectation vendeur ↔ site.</t>
  </si>
  <si>
    <t>OPT-204</t>
  </si>
  <si>
    <t>Contrôle d'accès dynamique temps réel</t>
  </si>
  <si>
    <t>US-54-T1, US-52-T2, US-09-T1 (partiel)</t>
  </si>
  <si>
    <t>OPT-205</t>
  </si>
  <si>
    <t>Onboarding vendeur : mot de passe temporaire &amp; premier login</t>
  </si>
  <si>
    <t>US-52 (nouvelle sous-tâche)</t>
  </si>
  <si>
    <t>Ajouté sous US-52.</t>
  </si>
  <si>
    <t>OPT-206</t>
  </si>
  <si>
    <t>Activation PENDING / ACTIVATED &amp; renvoi d'invitation</t>
  </si>
  <si>
    <t>Regroupé avec OPT-205.</t>
  </si>
  <si>
    <t>OPT-207</t>
  </si>
  <si>
    <t>API REST de gestion des vendeurs</t>
  </si>
  <si>
    <t>US-52-T1, US-03-T2 (partiel)</t>
  </si>
  <si>
    <t>OPT-301</t>
  </si>
  <si>
    <t>Codes d'erreurs métier &amp; exceptions HTTP</t>
  </si>
  <si>
    <t>US-08 (nouvelle sous-tâche), US-08-T3 (partiel)</t>
  </si>
  <si>
    <t>Ajouté sous US-08.</t>
  </si>
  <si>
    <t>OPT-302</t>
  </si>
  <si>
    <t>Tests E2E et unitaires, mocks SMTP</t>
  </si>
  <si>
    <t>US-02-T3, US-55-T2</t>
  </si>
  <si>
    <t>Tests SIVO / Oracle (US-07) non couverts.</t>
  </si>
  <si>
    <t>Front §3A</t>
  </si>
  <si>
    <t>Initialisation &amp; configuration de l'app mobile</t>
  </si>
  <si>
    <t>feature/login</t>
  </si>
  <si>
    <t>US-59-T1, US-59-T2 (partiel)</t>
  </si>
  <si>
    <t>React Native retenu (question ouverte tranchée).</t>
  </si>
  <si>
    <t>Front §3B-C</t>
  </si>
  <si>
    <t>Connexion sécurisée &amp; gestion de session JWT</t>
  </si>
  <si>
    <t>US-01-T2, US-09-T4 (partiel)</t>
  </si>
  <si>
    <t>Certificate pinning à prévoir.</t>
  </si>
  <si>
    <t>Front §3D</t>
  </si>
  <si>
    <t>Réinitialisation de mot de passe OTP</t>
  </si>
  <si>
    <t>US-02-T2</t>
  </si>
  <si>
    <t>Front §3E</t>
  </si>
  <si>
    <t>Navigation &amp; écran d'accueil / profil</t>
  </si>
  <si>
    <t>US-01 (nouvelle sous-tâche), US-03-T3 (partiel)</t>
  </si>
  <si>
    <t>Front §4</t>
  </si>
  <si>
    <t>Tests automatisés (8 suites, 36 tests)</t>
  </si>
  <si>
    <t>Definition of Done</t>
  </si>
  <si>
    <t>Écarts entre le réalisé et le backlog — décision PO requise</t>
  </si>
  <si>
    <t>#</t>
  </si>
  <si>
    <t>Écart constaté</t>
  </si>
  <si>
    <t>Clé backlog</t>
  </si>
  <si>
    <t>Recommandation PO</t>
  </si>
  <si>
    <t>Décision</t>
  </si>
  <si>
    <t>Base de données applicative PostgreSQL 17 (NestJS / Prisma) alors que le CDC parle du système de production Oracle SIVO.</t>
  </si>
  <si>
    <t>US-04, US-05</t>
  </si>
  <si>
    <t>OK si PostgreSQL = base de l'application et Oracle = système SIVO intégré par API / connecteur. À confirmer par écrit avec l'IT SIVO avant S02.</t>
  </si>
  <si>
    <t>Mot de passe oublié par code OTP e-mail (et non lien valable 30 min).</t>
  </si>
  <si>
    <t>US-02</t>
  </si>
  <si>
    <t>Accepter (plus adapté au mobile) et mettre à jour le critère d'acceptation.</t>
  </si>
  <si>
    <t>Politique de mot de passe 6 à 128 caractères.</t>
  </si>
  <si>
    <t>US-02, US-52</t>
  </si>
  <si>
    <t>Trop faible pour une application B2B : passer à 12 caractères minimum ou s'aligner sur la politique SIVO.</t>
  </si>
  <si>
    <t>Pas de temporisation du compte après 5 échecs ; protection par rate limiting.</t>
  </si>
  <si>
    <t>Accepter le rate limiting et ajouter un verrouillage progressif par compte, ou modifier le critère.</t>
  </si>
  <si>
    <t>Pas de table sessions (architecture stateless) ; révocation par revérification du profil.</t>
  </si>
  <si>
    <t>US-01-T3, US-52-T2</t>
  </si>
  <si>
    <t>Accepter : le critère « session révocable » est couvert par le contrôle à chaque requête.</t>
  </si>
  <si>
    <t>Plages horaires définies par affectation vendeur ↔ site (et non par vendeur).</t>
  </si>
  <si>
    <t>US-54</t>
  </si>
  <si>
    <t>Accepter : tranche la question ouverte n° 7 ; mettre à jour le critère.</t>
  </si>
  <si>
    <t>Infra Docker de dev réalisée par le Back ; aucun livrable DevOps signalé.</t>
  </si>
  <si>
    <t>US-10, US-11</t>
  </si>
  <si>
    <t>Confirmer avec Heni Kenoun le démarrage de US-10 (environnements) et US-11 (CI/CD), prérequis de la recette.</t>
  </si>
  <si>
    <t>Tickets créés par l'équipe avec ses propres clés (OPT-xxx, 3 épics).</t>
  </si>
  <si>
    <t>Tous</t>
  </si>
  <si>
    <t>Ne pas créer les épics EPIC-1/2/3 : rattacher chaque OPT-xxx aux clés du backlog (voir l'onglet Rapprochement OPT) pour garder un seul référentiel.</t>
  </si>
  <si>
    <t>Plateforme Opticien ↔ ESSILOR SIVO — Backlog v2</t>
  </si>
  <si>
    <t>Sources : Cahier des charges v2.0 (sept. 2026, accepté par SIVO) · Devis NextStep 27082601-L1/L2/L3 du 27/08/2026 · Ajout module Vendeurs (Lot 1).</t>
  </si>
  <si>
    <t>Vision produit</t>
  </si>
  <si>
    <t>Nous aidons les opticiens clients d'ESSILOR SIVO à commander (Stock, RX, Précal), suivre, réclamer et gérer leurs équipes depuis le mobile puis le web, en remplaçant le fax et les outils hétérogènes par une plateforme unique intégrée au système Oracle — mesuré par le % de commandes et de précals passés en ligne, le taux d'erreurs de commande et la baisse des appels au support.</t>
  </si>
  <si>
    <t>Product Goals par lot (découpage CDC v2)</t>
  </si>
  <si>
    <t>Commandes Stock / RX / Précal digital, suivi notifié, réclamations, vendeurs avec accès par site et horaire — sur mobile, socle sécurisé intégré à Oracle.</t>
  </si>
  <si>
    <t>Favoris, tracking et décharge électronique, espace commercial du représentant.</t>
  </si>
  <si>
    <t>Recommandation et chatbot IA aux seuils de qualité / sécurité validés ; exploitation autonome par l'IT SIVO.</t>
  </si>
  <si>
    <t>Web</t>
  </si>
  <si>
    <t>Après le mobile : déclinaison web de chaque module sur le même backend (sans logique métier dupliquée).</t>
  </si>
  <si>
    <t>Charge par lot : couvert par le devis vs à valider</t>
  </si>
  <si>
    <t>Lot</t>
  </si>
  <si>
    <t>J/H couverts devis</t>
  </si>
  <si>
    <t>J/H à valider</t>
  </si>
  <si>
    <t>Total J/H</t>
  </si>
  <si>
    <t>% à valider</t>
  </si>
  <si>
    <t>Épics</t>
  </si>
  <si>
    <t>Stories</t>
  </si>
  <si>
    <t>Sous-tâches</t>
  </si>
  <si>
    <t>dont web (J/H)</t>
  </si>
  <si>
    <t>TOTAL</t>
  </si>
  <si>
    <t>Devis signé (réf.)</t>
  </si>
  <si>
    <t>Les J/H « à valider » (module vendeurs, Précal digital, espace commercial, notifications, mobile, version web…) sont à chiffrer en avenant avec SIVO.</t>
  </si>
  <si>
    <t>Charge par personne et par lot (J/H)</t>
  </si>
  <si>
    <t>Personne</t>
  </si>
  <si>
    <t>Total</t>
  </si>
  <si>
    <t>Nb sous-tâches</t>
  </si>
  <si>
    <t>Risque planning &amp; leviers</t>
  </si>
  <si>
    <t>Fin estimée</t>
  </si>
  <si>
    <t>Échéance CDC</t>
  </si>
  <si>
    <t>Statut</t>
  </si>
  <si>
    <t>1. Ajouter un 2e développeur Back ou confier une partie de la BDD à Heni Kenoun (DevOps) : le Back porte ~120 J/H seul, plus que les jours ouvrés jusqu'à fin février.</t>
  </si>
  <si>
    <t>2. Livrer en février le Lot 1 mobile (S01–S07) et négocier Lots 2-3 + web en phase 2.</t>
  </si>
  <si>
    <t>3. Réduire le périmètre web au strict nécessaire (back-offices SIVO déjà en web) et décaler le web opticien.</t>
  </si>
  <si>
    <t>4. Passer le facteur de focus à 80 % dans l'onglet Sprints pour voir le planning réaliste.</t>
  </si>
  <si>
    <t>Hypothèses</t>
  </si>
  <si>
    <t>• Équipe : Youssef Feki (Front, mobile puis web), Ahmed Jmal (Back + BDD), Yessine Affes (IA), Heni Kenoun (DevOps).</t>
  </si>
  <si>
    <t>• Un seul backend / une seule API pour le mobile et le web.</t>
  </si>
  <si>
    <t>• Mobile d'abord (Lots 1 et 2 entièrement en mobile), puis web à partir de S09 en parallèle des sprints IA du Lot 3.</t>
  </si>
  <si>
    <t>• Les back-offices SIVO (réclamations, précal) sont en web dès le Lot 1 : ils servent aux équipes SIVO, pas aux opticiens.</t>
  </si>
  <si>
    <t>• Charge web ≈ 50 % du mobile (API et règles déjà faites) — à valider.</t>
  </si>
  <si>
    <t>• L'ancienne « détection IA des bons Précal » est retirée : le CDC v2 digitalise le bon (plus de papier à lire). L'aide à la saisie précal passe par le chatbot.</t>
  </si>
  <si>
    <t>Plan de sprints — mobile d'abord, web ensuite — durée variable selon la capacité</t>
  </si>
  <si>
    <t>1 personne par rôle : durée = charge de la personne la plus chargée (goulot) / facteur de focus + jours de cérémonies. Cellules jaunes modifiables.</t>
  </si>
  <si>
    <t>Date de début du projet</t>
  </si>
  <si>
    <t>Jours de cérémonies / sprint (planning, review, rétro)</t>
  </si>
  <si>
    <t>Facteur de focus (capacité réelle / théorique)</t>
  </si>
  <si>
    <t>Mettre 80 % pour intégrer imprévus / support.</t>
  </si>
  <si>
    <t>Échéance cahier des charges</t>
  </si>
  <si>
    <t>CDC v2 : « Échéance : février 2027 » (dernier jour ouvré retenu).</t>
  </si>
  <si>
    <t>Sprint</t>
  </si>
  <si>
    <t>Nom</t>
  </si>
  <si>
    <t>Sprint Goal</t>
  </si>
  <si>
    <t>Front – Youssef Feki (J/H)</t>
  </si>
  <si>
    <t>dont Mobile</t>
  </si>
  <si>
    <t>dont Web</t>
  </si>
  <si>
    <t>Back+BDD – Ahmed Jmal (J/H)</t>
  </si>
  <si>
    <t>IA – Yessine Affes (J/H)</t>
  </si>
  <si>
    <t>DevOps – Heni Kenoun (J/H)</t>
  </si>
  <si>
    <t>Goulot (J/H)</t>
  </si>
  <si>
    <t>Durée (j. ouvrés)</t>
  </si>
  <si>
    <t>Début</t>
  </si>
  <si>
    <t>Fin</t>
  </si>
  <si>
    <t>Fondations</t>
  </si>
  <si>
    <t>Connexion avec rôle sur l'app mobile en Dev ; modèle de données validé avec l'IT SIVO.</t>
  </si>
  <si>
    <t>US-59, US-01, US-02, US-03, US-04, US-10</t>
  </si>
  <si>
    <t>Intégration Oracle, sécurité &amp; comptes</t>
  </si>
  <si>
    <t>Lecture/écriture sécurisée dans le SI SIVO ; l'opticien configure ses sites et crée ses vendeurs ; builds mobiles distribués.</t>
  </si>
  <si>
    <t>US-60, US-05, US-06, US-08, US-51, US-52</t>
  </si>
  <si>
    <t>Accès vendeurs &amp; catalogue</t>
  </si>
  <si>
    <t>Vendeurs limités par site, jours et heures ; recherche catalogue et commande Stock sur mobile ; CI/CD complète.</t>
  </si>
  <si>
    <t>US-11, US-53, US-54, US-12, US-13</t>
  </si>
  <si>
    <t>Commande RX &amp; suivi</t>
  </si>
  <si>
    <t>Commande RX guidée (monture, options) transmise à SIVO et suivie ; tests d'intégration Oracle.</t>
  </si>
  <si>
    <t>US-07, US-14, US-15, US-45, US-16, US-17</t>
  </si>
  <si>
    <t>Précal digital (saisie)</t>
  </si>
  <si>
    <t>Un opticien envoie un bon précal complet, contrôlé et horodaté depuis le mobile ; audit des actions sensibles.</t>
  </si>
  <si>
    <t>US-09, US-20, US-21, US-47</t>
  </si>
  <si>
    <t>S06</t>
  </si>
  <si>
    <t>Précal SIVO, notifications &amp; réclamations</t>
  </si>
  <si>
    <t>SIVO traite le précal en back-office ; l'opticien est notifié et déclare une réclamation.</t>
  </si>
  <si>
    <t>US-48, US-49, US-46, US-24, US-28</t>
  </si>
  <si>
    <t>Réclamations, permissions vendeurs &amp; stores</t>
  </si>
  <si>
    <t>Réclamation traitée jusqu'à la clôture ; permissions vendeurs ; app publiée. Recette mobile Lot 1.</t>
  </si>
  <si>
    <t>US-61, US-55, US-25, US-26, US-27, US-31</t>
  </si>
  <si>
    <t>S08</t>
  </si>
  <si>
    <t>Favoris, tracking &amp; espace commercial</t>
  </si>
  <si>
    <t>Commande depuis favoris, décharge électronique, représentant qui commande pour son client. Recette mobile Lot 2.</t>
  </si>
  <si>
    <t>US-18, US-19, US-22, US-23, US-56, US-57, US-58</t>
  </si>
  <si>
    <t>S09</t>
  </si>
  <si>
    <t>Lot 3 + Web</t>
  </si>
  <si>
    <t>Recommandation &amp; socle web</t>
  </si>
  <si>
    <t>Verre recommandé justifié ; le web démarre : connexion, rôles, vendeurs.</t>
  </si>
  <si>
    <t>US-W00, US-W01, US-W02, US-W03, US-29, US-30</t>
  </si>
  <si>
    <t>S10</t>
  </si>
  <si>
    <t>Chatbot IA &amp; commande web</t>
  </si>
  <si>
    <t>Chatbot complet sur mobile ; commande Stock/RX sur le web.</t>
  </si>
  <si>
    <t>US-W04, US-32, US-33, US-34, US-35, US-50</t>
  </si>
  <si>
    <t>Qualité IA, supervision &amp; web Lot 1</t>
  </si>
  <si>
    <t>Seuils IA atteints, tests d'injection passés, supervision active ; Lot 1 complet sur le web.</t>
  </si>
  <si>
    <t>US-W05, US-W06, US-W07, US-36, US-37, US-38, US-39, US-40</t>
  </si>
  <si>
    <t>S12</t>
  </si>
  <si>
    <t>Lots 2-3 + Web</t>
  </si>
  <si>
    <t>Web Lots 2-3, sauvegarde &amp; transfert</t>
  </si>
  <si>
    <t>Web complet ; restauration testée ; IT SIVO autonome. Recette finale.</t>
  </si>
  <si>
    <t>US-W08, US-W09, US-W10, US-W11, US-W12, US-41, US-42, US-43, US-44</t>
  </si>
  <si>
    <t>Contrôle de l'échéance</t>
  </si>
  <si>
    <t>Fin estimée du projet</t>
  </si>
  <si>
    <t>Écart (jours ouvrés, + = retard)</t>
  </si>
  <si>
    <t>Taux d'occupation par personne (charge / jours ouvrés hors cérémonies)</t>
  </si>
  <si>
    <t>Youssef Feki (Front)</t>
  </si>
  <si>
    <t>Ahmed Jmal (Back)</t>
  </si>
  <si>
    <t>Yessine Affes (IA)</t>
  </si>
  <si>
    <t>Heni Kenoun (DevOps)</t>
  </si>
  <si>
    <t>Back = personne la plus chargée (~121 J/H) : il porte le backend ET la base de données ; il est le goulot des 8 premiers sprints.</t>
  </si>
  <si>
    <t>Clé</t>
  </si>
  <si>
    <t>Type</t>
  </si>
  <si>
    <t>Épic</t>
  </si>
  <si>
    <t>Parent</t>
  </si>
  <si>
    <t>Résumé</t>
  </si>
  <si>
    <t>User story &amp; critères d'acceptation</t>
  </si>
  <si>
    <t>Rôle</t>
  </si>
  <si>
    <t>Personne (équipe)</t>
  </si>
  <si>
    <t>Assigné</t>
  </si>
  <si>
    <t>Estimation J/H</t>
  </si>
  <si>
    <t>Story points</t>
  </si>
  <si>
    <t>Priorité</t>
  </si>
  <si>
    <t>Source charge</t>
  </si>
  <si>
    <t>Dépendances</t>
  </si>
  <si>
    <t>Réf. devis / CDC</t>
  </si>
  <si>
    <t>Réf. équipe (Jira OPT / rapport)</t>
  </si>
  <si>
    <t>Constat du rapprochement</t>
  </si>
  <si>
    <t>E20</t>
  </si>
  <si>
    <t>Epic</t>
  </si>
  <si>
    <t>Socle application mobile (iOS / Android)</t>
  </si>
  <si>
    <t>Objectif : Disposer d'une application mobile iOS/Android branchée sur le backend unique.
Réf. : Hors devis — CDC v2 multi-canal (avenant)</t>
  </si>
  <si>
    <t>Highest</t>
  </si>
  <si>
    <t>E05</t>
  </si>
  <si>
    <t>Hors devis — CDC v2 multi-canal (avenant)</t>
  </si>
  <si>
    <t>US-59</t>
  </si>
  <si>
    <t>Story</t>
  </si>
  <si>
    <t>Initialisation de l'application mobile</t>
  </si>
  <si>
    <t>En tant qu'équipe projet, je veux une base d'application mobile partagée iOS / Android, afin de développer chaque écran une seule fois.
Critères d'acceptation :
• Projet cross-platform (React Native ou Flutter — à valider), navigation, thème / design system.
• Client API unique partagé avec le futur front web.</t>
  </si>
  <si>
    <t>Front Mobile</t>
  </si>
  <si>
    <t>À valider</t>
  </si>
  <si>
    <t>US-59-T1</t>
  </si>
  <si>
    <t>Sous-tâche</t>
  </si>
  <si>
    <t>[Front Mobile] Initialisation projet, navigation, design system</t>
  </si>
  <si>
    <t>Done</t>
  </si>
  <si>
    <t>Rapport Front §2-3A</t>
  </si>
  <si>
    <t>React Native 0.87 + TypeScript, Clean Architecture, thème clair/sombre, police Manrope, charte OptiVo.</t>
  </si>
  <si>
    <t>US-59-T2</t>
  </si>
  <si>
    <t>[Front Mobile] Client API typé + gestion des erreurs et du mode hors ligne</t>
  </si>
  <si>
    <t>In Progress</t>
  </si>
  <si>
    <t>Rapport Front §3A-3C</t>
  </si>
  <si>
    <t>Client API + validation env faits ; mode hors ligne prévu (prochaine étape 02).</t>
  </si>
  <si>
    <t>US-60</t>
  </si>
  <si>
    <t>Build et distribution mobile</t>
  </si>
  <si>
    <t>En tant que PO, je veux recevoir chaque version mobile sur mon téléphone, afin de recetter sur appareil réel.
Critères d'acceptation :
• Build iOS et Android automatiques dans la CI.
• Distribution de recette (TestFlight / Play internal testing).</t>
  </si>
  <si>
    <t>High</t>
  </si>
  <si>
    <t>US-60-T1</t>
  </si>
  <si>
    <t>[DevOps] Pipeline de build mobile + signature des applications</t>
  </si>
  <si>
    <t>To Do</t>
  </si>
  <si>
    <t>US-60-T2</t>
  </si>
  <si>
    <t>[DevOps] Distribution TestFlight / Google Play (test interne)</t>
  </si>
  <si>
    <t>US-61</t>
  </si>
  <si>
    <t>Publication sur les stores</t>
  </si>
  <si>
    <t>En tant qu'opticien, je veux télécharger l'application sur l'App Store et Google Play, afin de l'utiliser sur mon téléphone.
Critères d'acceptation :
• Fiches store, captures, politique de confidentialité prêtes.
• Application validée par Apple et Google.</t>
  </si>
  <si>
    <t>Front Mobile, DevOps</t>
  </si>
  <si>
    <t>Front, DevOps</t>
  </si>
  <si>
    <t>US-61-T1</t>
  </si>
  <si>
    <t>[DevOps] Comptes développeur, fiches store, soumission</t>
  </si>
  <si>
    <t>US-61-T2</t>
  </si>
  <si>
    <t>[Front Mobile] Ajustements de conformité store (permissions, écrans)</t>
  </si>
  <si>
    <t>US-W00</t>
  </si>
  <si>
    <t>Socle front web (réutilise le client API mobile)</t>
  </si>
  <si>
    <t>En tant qu'équipe projet, je veux une base web qui réutilise le client API et le design system du mobile, afin de décliner les écrans rapidement.
Critères d'acceptation :
• Projet web initialisé, responsive, branché sur le même backend.
• Build web intégré au pipeline.</t>
  </si>
  <si>
    <t>Front Web, DevOps</t>
  </si>
  <si>
    <t>US-W00-T1</t>
  </si>
  <si>
    <t>[Front Web] Initialisation projet web, layout responsive, design system partagé</t>
  </si>
  <si>
    <t>Front Web</t>
  </si>
  <si>
    <t>US-W00-T2</t>
  </si>
  <si>
    <t>[Front Web] Intégration du build web au pipeline</t>
  </si>
  <si>
    <t>US-W00-T3</t>
  </si>
  <si>
    <t>[DevOps] Hébergement et déploiement du front web</t>
  </si>
  <si>
    <t>E01</t>
  </si>
  <si>
    <t>Authentification</t>
  </si>
  <si>
    <t>Objectif : Permettre aux utilisateurs d'accéder à l'application de manière sécurisée.
Réf. : L1 – Socle technique / Tâche 1</t>
  </si>
  <si>
    <t>Choix du mode d'authentification (comptes locaux / annuaire SIVO / SSO)</t>
  </si>
  <si>
    <t>L1 – Socle technique / Tâche 1</t>
  </si>
  <si>
    <t>US-01</t>
  </si>
  <si>
    <t>Connexion / déconnexion sécurisée</t>
  </si>
  <si>
    <t>En tant qu'opticien, je veux me connecter et me déconnecter de façon sécurisée, afin d'accéder à mon espace de commande.
Critères d'acceptation :
• Étant donné un compte actif, quand je saisis des identifiants valides, alors j'accède au tableau de bord en &lt; 2 s.
• Étant donné des identifiants invalides, alors un message générique s'affiche (sans préciser le champ en erreur).
• La session expire après inactivité (durée à valider) et le jeton de rafraîchissement est révocable.
• Après déconnexion, le bouton Retour du navigateur ne réaffiche aucune donnée.</t>
  </si>
  <si>
    <t>Front Mobile, Back</t>
  </si>
  <si>
    <t>Front, Back</t>
  </si>
  <si>
    <t>Devis</t>
  </si>
  <si>
    <t>[Back] API login / logout / refresh token (JWT) + expiration de session</t>
  </si>
  <si>
    <t>OPT-102, OPT-103</t>
  </si>
  <si>
    <t>Login / refresh / logout JWT stateless, Argon2id, profil revérifié à chaque refresh.</t>
  </si>
  <si>
    <t>US-01-T2</t>
  </si>
  <si>
    <t>[Front Mobile] Écran de connexion mobile + gestion du jeton et redirections</t>
  </si>
  <si>
    <t>Rapport Front §3B-3C</t>
  </si>
  <si>
    <t>LoginScreen, validation temps réel, auto-refresh JWT, reconnexion transparente, restauration de session.</t>
  </si>
  <si>
    <t>US-01-T3</t>
  </si>
  <si>
    <t>[Back] Tables users / sessions / refresh_tokens</t>
  </si>
  <si>
    <t>OPT-101, OPT-102</t>
  </si>
  <si>
    <t>Modèle Prisma users / profils. Pas de table sessions (choix stateless, assumé).</t>
  </si>
  <si>
    <t>Mot de passe oublié &amp; réinitialisation</t>
  </si>
  <si>
    <t>En tant qu'opticien, je veux réinitialiser mon mot de passe, afin de récupérer mon compte sans appeler le support.
Critères d'acceptation :
• Quand je demande une réinitialisation, alors je reçois un lien à usage unique valable 30 min.
• Le nouveau mot de passe respecte la politique SIVO (longueur, complexité).
• La réponse est identique que l'e-mail existe ou non (pas d'énumération de comptes).</t>
  </si>
  <si>
    <t>[Back] Flux reset : génération jeton, envoi e-mail, validation</t>
  </si>
  <si>
    <t>Écart vs critère : code OTP par e-mail au lieu d'un lien 30 min → critère à mettre à jour.</t>
  </si>
  <si>
    <t>[Front Mobile] Écrans mot de passe oublié / nouveau mot de passe</t>
  </si>
  <si>
    <t>Rapport Front §3D</t>
  </si>
  <si>
    <t>Flux 4 étapes avec OTP 6 chiffres (BottomSheet).</t>
  </si>
  <si>
    <t>US-02-T3</t>
  </si>
  <si>
    <t>[Back] Tests automatisés du module d'authentification</t>
  </si>
  <si>
    <t>Tests unitaires + E2E auth sur PostgreSQL réel et Mailpit.</t>
  </si>
  <si>
    <t>US-W01</t>
  </si>
  <si>
    <t>Version web — Authentification</t>
  </si>
  <si>
    <t>En tant qu'utilisateur web, je veux retrouver sur navigateur les fonctions « Authentification » de l'application mobile, afin de travailler depuis mon poste.
Critères d'acceptation :
• Mêmes règles et mêmes API que la version mobile (aucune logique métier dupliquée).
• Affichage correct sur Chrome, Edge, Safari, Firefox (2 dernières versions), de 1280 px à la tablette.
• Critères d'acceptation des stories mobiles de l'épic re-vérifiés sur le web.</t>
  </si>
  <si>
    <t>US-W01-T1</t>
  </si>
  <si>
    <t>[Front Web] Écrans connexion / mot de passe oublié (web)</t>
  </si>
  <si>
    <t>E02</t>
  </si>
  <si>
    <t>Gestion des accès et des rôles</t>
  </si>
  <si>
    <t>Objectif : Contrôler ce que chaque profil peut consulter ou modifier.
Réf. : L1 – Socle technique / Tâche 1</t>
  </si>
  <si>
    <t>US-03</t>
  </si>
  <si>
    <t>Matrice des rôles et contrôle d'accès</t>
  </si>
  <si>
    <t>En tant qu'administrateur SIVO, je veux attribuer un rôle à chaque utilisateur, afin que chacun n'accède qu'aux écrans et données autorisés.
Critères d'acceptation :
• La matrice rôles × permissions est validée par SIVO avant développement (DoR).
• Étant donné un opticien, quand il appelle l'API d'un autre opticien, alors il reçoit 403.
• Les menus et boutons non autorisés sont masqués côté front ET bloqués côté API.</t>
  </si>
  <si>
    <t>Mixte</t>
  </si>
  <si>
    <t>US-03-T1</t>
  </si>
  <si>
    <t>[Back] Modèle RBAC : roles, permissions, user_roles</t>
  </si>
  <si>
    <t>Profils OPTICIEN / VENDEUR (profileType) ; matrice permissions complète non faite.</t>
  </si>
  <si>
    <t>US-03-T2</t>
  </si>
  <si>
    <t>[Back] Middleware d'autorisation + cloisonnement par opticien</t>
  </si>
  <si>
    <t>OPT-103, OPT-207</t>
  </si>
  <si>
    <t>JwtAccessGuard + OpticienOnlyGuard + isolation multi-tenant ; à étendre aux autres modules.</t>
  </si>
  <si>
    <t>US-03-T3</t>
  </si>
  <si>
    <t>[Front Mobile] Guards de routes et masquage conditionnel des actions</t>
  </si>
  <si>
    <t>Rapport Front §3E</t>
  </si>
  <si>
    <t>Distinction OPTICIEN / VENDEUR à l'accueil ; masquage des actions à faire quand les écrans métier existeront.</t>
  </si>
  <si>
    <t>US-03-T4</t>
  </si>
  <si>
    <t>[Back] Rôles Vendeur et Commercial dans la matrice RBAC</t>
  </si>
  <si>
    <t>OPT-201..207</t>
  </si>
  <si>
    <t>Rôle Vendeur fait ; rôle Commercial à faire.</t>
  </si>
  <si>
    <t>US-W02</t>
  </si>
  <si>
    <t>Version web — Gestion des accès et des rôles</t>
  </si>
  <si>
    <t>En tant qu'utilisateur web, je veux retrouver sur navigateur les fonctions « Gestion des accès et des rôles » de l'application mobile, afin de travailler depuis mon poste.
Critères d'acceptation :
• Mêmes règles et mêmes API que la version mobile (aucune logique métier dupliquée).
• Affichage correct sur Chrome, Edge, Safari, Firefox (2 dernières versions), de 1280 px à la tablette.
• Critères d'acceptation des stories mobiles de l'épic re-vérifiés sur le web.</t>
  </si>
  <si>
    <t>US-W02-T1</t>
  </si>
  <si>
    <t>[Front Web] Guards de routes et masquage des actions (web)</t>
  </si>
  <si>
    <t>E03</t>
  </si>
  <si>
    <t>Base de données partagée &amp; intégration SIVO</t>
  </si>
  <si>
    <t>Objectif : Partager les données avec l'IT SIVO et rester cohérent avec le système de production Oracle existant.
Réf. : L1 – Socle technique / Tâche 1</t>
  </si>
  <si>
    <t>Accès réseau / base SIVO</t>
  </si>
  <si>
    <t>US-04</t>
  </si>
  <si>
    <t>Modèle de données partagé</t>
  </si>
  <si>
    <t>En tant qu'équipe IT SIVO, je veux un modèle de données documenté avec ses propriétaires, afin de savoir qui écrit et qui lit chaque table.
Critères d'acceptation :
• MCD/MLD couvrant opticiens, produits, commandes, lignes, statuts, livraisons, réclamations.
• Chaque table a un propriétaire (Projet / SIVO) et un mode d'accès (R / RW) validés en atelier.
• Le dictionnaire de données est publié et versionné.</t>
  </si>
  <si>
    <t>US-04-T1</t>
  </si>
  <si>
    <t>[Back] Conception MCD / MLD et conventions de nommage</t>
  </si>
  <si>
    <t>OPT-101, OPT-201..203</t>
  </si>
  <si>
    <t>Modèle auth / opticien / vendeur / site / planning en place ; commandes, précal, réclamations à modéliser et à valider avec l'IT SIVO.</t>
  </si>
  <si>
    <t>US-04-T2</t>
  </si>
  <si>
    <t>[Back] Dictionnaire de données + matrice de responsabilités</t>
  </si>
  <si>
    <t>US-04-T3</t>
  </si>
  <si>
    <t>[Back] Mapping ORM des entités et repositories</t>
  </si>
  <si>
    <t>Prisma 7 pour les entités existantes.</t>
  </si>
  <si>
    <t>US-05</t>
  </si>
  <si>
    <t>Connexion sécurisée au SI SIVO (Oracle)</t>
  </si>
  <si>
    <t>En tant qu'équipe IT SIVO, je veux que l'application accède à nos données via des comptes de service à droits minimaux, afin de garder le contrôle de notre SI.
Critères d'acceptation :
• Connexion chiffrée (TLS) avec un compte de service par environnement.
• Les droits sont limités aux tables listées dans la matrice US-04.
• La synchronisation du catalogue SIVO tourne et ses erreurs sont journalisées.</t>
  </si>
  <si>
    <t>Back, DevOps</t>
  </si>
  <si>
    <t>US-05-T1</t>
  </si>
  <si>
    <t>[DevOps] Comptes de service, droits, ouverture réseau avec IT SIVO</t>
  </si>
  <si>
    <t>Rôle PostgreSQL applicatif non-superuser en dev (fait par le Back) ; comptes de service SIVO / Oracle non faits.</t>
  </si>
  <si>
    <t>US-05-T2</t>
  </si>
  <si>
    <t>[Back] Connecteur SIVO + pool de connexions + gestion des erreurs</t>
  </si>
  <si>
    <t>US-05-T3</t>
  </si>
  <si>
    <t>[Back] Synchronisation catalogue / référentiels depuis Oracle SIVO</t>
  </si>
  <si>
    <t>US-06</t>
  </si>
  <si>
    <t>Migrations et jeux de données</t>
  </si>
  <si>
    <t>En tant que développeur, je veux des migrations versionnées et des données de recette, afin de recréer chaque environnement à l'identique.
Critères d'acceptation :
• Une migration s'applique et se rejoue (rollback) sans perte sur Dev et Recette.
• Un jeu de données anonymisé permet de dérouler tous les parcours Lot 1.</t>
  </si>
  <si>
    <t>US-06-T1</t>
  </si>
  <si>
    <t>[Back] Scripts de migration versionnés (up / down)</t>
  </si>
  <si>
    <t>Migrations Prisma versionnées et reproductibles.</t>
  </si>
  <si>
    <t>US-06-T2</t>
  </si>
  <si>
    <t>[Back] Jeu de données de recette anonymisé</t>
  </si>
  <si>
    <t>US-07</t>
  </si>
  <si>
    <t>Tests d'intégration SIVO</t>
  </si>
  <si>
    <t>En tant que PO, je veux des tests d'intégration automatiques avec le SI SIVO, afin de détecter toute rupture avant la mise en production.
Critères d'acceptation :
• Les flux lecture catalogue / écriture commande sont couverts par des tests automatisés.
• Les tests tournent dans la CI et bloquent le déploiement en cas d'échec.</t>
  </si>
  <si>
    <t>US-07-T1</t>
  </si>
  <si>
    <t>[Back] Tests d'intégration des flux SIVO</t>
  </si>
  <si>
    <t>US-07-T2</t>
  </si>
  <si>
    <t>[Back] Validation volumétrie et temps de réponse des requêtes</t>
  </si>
  <si>
    <t>E04</t>
  </si>
  <si>
    <t>Sécurité applicative &amp; protection des données</t>
  </si>
  <si>
    <t>Objectif : Protéger l'application, les échanges, les secrets et les données sensibles.
Réf. : L1 – Socle technique / Tâche 1</t>
  </si>
  <si>
    <t>E01, E02, E03</t>
  </si>
  <si>
    <t>US-08</t>
  </si>
  <si>
    <t>Sécuriser les échanges, secrets et données sensibles</t>
  </si>
  <si>
    <t>En tant que responsable sécurité SIVO, je veux que les secrets et données sensibles soient protégés, afin de respecter notre politique de sécurité.
Critères d'acceptation :
• Aucun secret dans le code ni dans les logs (scan automatique dans la CI).
• HTTPS forcé, en-têtes de sécurité (HSTS, CSP) présents.
• Les données sensibles identifiées sont chiffrées au repos.</t>
  </si>
  <si>
    <t>US-08-T1</t>
  </si>
  <si>
    <t>[DevOps] TLS + coffre à secrets (Vault / équivalent) par environnement</t>
  </si>
  <si>
    <t>US-08-T2</t>
  </si>
  <si>
    <t>[Back] Chiffrement des données sensibles au repos</t>
  </si>
  <si>
    <t>US-08-T3</t>
  </si>
  <si>
    <t>[Back] Validation des entrées, CORS, en-têtes de sécurité</t>
  </si>
  <si>
    <t>OPT-101, OPT-301</t>
  </si>
  <si>
    <t>Validation Zod des variables d'env + DTO ; CORS / en-têtes de sécurité non mentionnés.</t>
  </si>
  <si>
    <t>US-09</t>
  </si>
  <si>
    <t>Journalisation d'audit et protections applicatives</t>
  </si>
  <si>
    <t>En tant qu'administrateur SIVO, je veux tracer les actions sensibles, afin de pouvoir enquêter en cas d'incident.
Critères d'acceptation :
• Connexions, échecs de connexion, créations/annulations de commande sont journalisés (qui, quoi, quand).
• Après 5 échecs de connexion, le compte est temporisé.
• Les logs d'audit ne sont pas modifiables par l'application.</t>
  </si>
  <si>
    <t>US-09-T1</t>
  </si>
  <si>
    <t>[Back] Audit log des actions sensibles</t>
  </si>
  <si>
    <t>Log d'audit 'vendor_access_denied' seulement ; autres actions sensibles à tracer.</t>
  </si>
  <si>
    <t>US-09-T2</t>
  </si>
  <si>
    <t>[Back] Table d'audit + politique de rétention</t>
  </si>
  <si>
    <t>[Back] Rate limiting et anti brute-force</t>
  </si>
  <si>
    <t>Double rate limiting + anti-timing. Écart vs critère « temporisation après 5 échecs » → à arbitrer.</t>
  </si>
  <si>
    <t>US-09-T4</t>
  </si>
  <si>
    <t>[Front Mobile] Sécurité mobile : stockage sécurisé du jeton, certificate pinning</t>
  </si>
  <si>
    <t>Rapport Front §3C</t>
  </si>
  <si>
    <t>Keychain / Keystore OK ; certificate pinning non mentionné.</t>
  </si>
  <si>
    <t>Environnements, CI/CD &amp; déploiement</t>
  </si>
  <si>
    <t>Objectif : Disposer d'un processus fiable pour développer, tester et mettre en production.
Réf. : L1 – Socle technique / Tâche 2 (DevOps)</t>
  </si>
  <si>
    <t>Infrastructure / hébergement SIVO</t>
  </si>
  <si>
    <t>L1 – Socle technique / Tâche 2 (DevOps)</t>
  </si>
  <si>
    <t>US-10</t>
  </si>
  <si>
    <t>Environnements Dev / Recette / Production</t>
  </si>
  <si>
    <t>En tant qu'équipe projet, je veux trois environnements isolés, afin de développer et faire valider sans risque pour la production.
Critères d'acceptation :
• Dev, Recette et Prod sont provisionnés, isolés et accessibles selon les règles SIVO.
• La configuration est externalisée (aucune valeur d'environnement dans le code).</t>
  </si>
  <si>
    <t>US-10-T1</t>
  </si>
  <si>
    <t>[DevOps] Provisionnement infrastructure des 3 environnements</t>
  </si>
  <si>
    <t>US-10-T2</t>
  </si>
  <si>
    <t>[DevOps] Conteneurisation (Docker) front / back / IA</t>
  </si>
  <si>
    <t>Docker Compose de dev (PostgreSQL 17, MinIO, Mailpit) fait par le Back ; images front / back / IA et environnements Recette / Prod à faire (DevOps).</t>
  </si>
  <si>
    <t>US-10-T3</t>
  </si>
  <si>
    <t>[DevOps] Configuration par environnement et gestion des variables</t>
  </si>
  <si>
    <t>US-11</t>
  </si>
  <si>
    <t>Pipeline CI/CD avec retour arrière</t>
  </si>
  <si>
    <t>En tant qu'équipe projet, je veux un pipeline automatisé, afin de livrer souvent et revenir en arrière en cas de problème.
Critères d'acceptation :
• Chaque merge sur la branche principale déclenche build + tests + déploiement Recette.
• La mise en production nécessite une validation manuelle.
• Un rollback vers la version N-1 se fait en &lt; 15 min.</t>
  </si>
  <si>
    <t>Front Mobile, Back, DevOps</t>
  </si>
  <si>
    <t>Front, Back, DevOps</t>
  </si>
  <si>
    <t>US-11-T1</t>
  </si>
  <si>
    <t>[DevOps] Pipeline build + tests + analyse qualité</t>
  </si>
  <si>
    <t>US-11-T2</t>
  </si>
  <si>
    <t>[DevOps] Déploiement automatisé + procédure de rollback</t>
  </si>
  <si>
    <t>US-11-T3</t>
  </si>
  <si>
    <t>[Front Mobile] Intégration des builds mobile (iOS / Android) dans le pipeline</t>
  </si>
  <si>
    <t>US-11-T4</t>
  </si>
  <si>
    <t>[Back] Intégration des tests back dans le pipeline</t>
  </si>
  <si>
    <t>E18</t>
  </si>
  <si>
    <t>Module vendeurs &amp; gestion des accès</t>
  </si>
  <si>
    <t>Objectif : Permettre à l'opticien de créer ses vendeurs et de contrôler à quels sites et à quelles heures ils accèdent.
Réf. : Hors devis — ajout Lot 1 (avenant)</t>
  </si>
  <si>
    <t>E01, E02</t>
  </si>
  <si>
    <t>Hors devis — ajout Lot 1 (avenant)</t>
  </si>
  <si>
    <t>US-51</t>
  </si>
  <si>
    <t>Configuration du compte opticien et de ses sites</t>
  </si>
  <si>
    <t>En tant qu'opticien, je veux configurer mon compte et déclarer mes sites (magasins), afin d'y rattacher mes vendeurs.
Critères d'acceptation :
• Je gère les informations de mon compte et la liste de mes sites (création, modification, désactivation).
• Un site désactivé n'est plus sélectionnable pour une commande ni un rattachement.
• Le fuseau horaire du site est enregistré (utilisé pour les plages d'accès).</t>
  </si>
  <si>
    <t>US-51-T1</t>
  </si>
  <si>
    <t>[Back] Modèle compte opticien / sites + API de configuration</t>
  </si>
  <si>
    <t>OPT-202, OPT-203</t>
  </si>
  <si>
    <t>Modèle Site (codeSite, libelle, timezone IANA, actif) ; API de configuration du compte et des sites non faite.</t>
  </si>
  <si>
    <t>US-51-T2</t>
  </si>
  <si>
    <t>[Front Mobile] Écrans 'Mon compte' et 'Mes sites'</t>
  </si>
  <si>
    <t>US-52</t>
  </si>
  <si>
    <t>Créer et gérer les comptes vendeurs</t>
  </si>
  <si>
    <t>En tant qu'opticien, je veux créer, modifier et désactiver des comptes vendeurs, afin que mon équipe commande sous son propre identifiant.
Critères d'acceptation :
• Création avec nom, e-mail / identifiant, rôle vendeur ; le vendeur reçoit une invitation pour définir son mot de passe.
• Désactivation immédiate : les sessions en cours du vendeur sont révoquées.
• Un opticien ne voit et ne gère que ses propres vendeurs.</t>
  </si>
  <si>
    <t>US-52-T1</t>
  </si>
  <si>
    <t>[Back] Modèle vendeur rattaché à l'opticien + API CRUD + invitation</t>
  </si>
  <si>
    <t>OPT-201, OPT-207</t>
  </si>
  <si>
    <t>CRUD vendeurs paginé, recherche, codeVendeur, statuts ACTIVE / INACTIF / TERMINATED sans suppression physique.</t>
  </si>
  <si>
    <t>US-52-T2</t>
  </si>
  <si>
    <t>[Back] Révocation des sessions à la désactivation</t>
  </si>
  <si>
    <t>OPT-201, OPT-204</t>
  </si>
  <si>
    <t>Révocation immédiate via contrôle à chaque requête (stateless).</t>
  </si>
  <si>
    <t>US-52-T3</t>
  </si>
  <si>
    <t>[Front Mobile] Écrans liste / création / édition des vendeurs</t>
  </si>
  <si>
    <t>US-53</t>
  </si>
  <si>
    <t>Rattacher un vendeur à un ou plusieurs sites</t>
  </si>
  <si>
    <t>En tant qu'opticien, je veux choisir les sites auxquels chaque vendeur a accès, afin qu'il ne voie que les commandes de son magasin.
Critères d'acceptation :
• Un vendeur est rattaché à ≥ 1 site.
• Il ne voit et ne crée des commandes que pour ses sites (contrôle côté API).
• Retirer un site retire l'accès immédiatement.</t>
  </si>
  <si>
    <t>US-53-T1</t>
  </si>
  <si>
    <t>[Back] Table vendeur ↔ sites + filtrage des données par site dans l'API</t>
  </si>
  <si>
    <t>Affectations multi-sites datées. Filtrage par site à brancher sur les futures API commandes.</t>
  </si>
  <si>
    <t>US-53-T2</t>
  </si>
  <si>
    <t>[Front Mobile] Sélection des sites dans la fiche vendeur</t>
  </si>
  <si>
    <t>Plages d'accès : jours et heures</t>
  </si>
  <si>
    <t>En tant qu'opticien, je veux définir les jours et heures où chaque vendeur peut se connecter, afin de limiter l'accès aux heures d'ouverture.
Critères d'acceptation :
• Plages configurables par jour (ex. lun–sam 09:00–19:00), selon le fuseau du site.
• Hors plage : connexion refusée avec message explicite ; une session ouverte expire à la fin de la plage.
• L'opticien (compte principal) n'est jamais limité.</t>
  </si>
  <si>
    <t>US-54-T1</t>
  </si>
  <si>
    <t>[Back] Modèle des plages + contrôle au login et à chaque requête (middleware)</t>
  </si>
  <si>
    <t>OPT-203, OPT-204</t>
  </si>
  <si>
    <t>Planning ISO 7 jours par affectation + VendorAccessPolicy fail-closed au login, au refresh et à chaque requête.</t>
  </si>
  <si>
    <t>US-54-T2</t>
  </si>
  <si>
    <t>[Back] Expiration des sessions en fin de plage + gestion des fuseaux</t>
  </si>
  <si>
    <t>Fuseau IANA par site validé en base et en applicatif.</t>
  </si>
  <si>
    <t>US-54-T3</t>
  </si>
  <si>
    <t>[Front Mobile] Écran de configuration des jours et heures</t>
  </si>
  <si>
    <t>US-55</t>
  </si>
  <si>
    <t>Permissions vendeur et traçabilité</t>
  </si>
  <si>
    <t>En tant qu'opticien, je veux définir ce que mes vendeurs peuvent faire et savoir qui a passé chaque commande, afin de garder le contrôle.
Critères d'acceptation :
• Permissions configurables (ex. commander, voir les prix, déclarer une réclamation).
• Chaque commande / réclamation enregistre le vendeur auteur.
• Tests automatisés : vendeur hors site, hors plage, désactivé → accès refusé.</t>
  </si>
  <si>
    <t>US-55-T1</t>
  </si>
  <si>
    <t>[Back] Permissions vendeur + auteur sur commandes / réclamations</t>
  </si>
  <si>
    <t>US-55-T2</t>
  </si>
  <si>
    <t>[Back] Tests automatisés du module vendeurs</t>
  </si>
  <si>
    <t>Cas limites horaires testés (07:59:59 refusé, 08:00 accepté, 18:00 refusé).</t>
  </si>
  <si>
    <t>US-55-T3</t>
  </si>
  <si>
    <t>[Front Mobile] Écran des permissions du vendeur</t>
  </si>
  <si>
    <t>US-W03</t>
  </si>
  <si>
    <t>Version web — Module vendeurs &amp; gestion des accès</t>
  </si>
  <si>
    <t>En tant qu'utilisateur web, je veux retrouver sur navigateur les fonctions « Module vendeurs &amp; gestion des accès » de l'application mobile, afin de travailler depuis mon poste.
Critères d'acceptation :
• Mêmes règles et mêmes API que la version mobile (aucune logique métier dupliquée).
• Affichage correct sur Chrome, Edge, Safari, Firefox (2 dernières versions), de 1280 px à la tablette.
• Critères d'acceptation des stories mobiles de l'épic re-vérifiés sur le web.</t>
  </si>
  <si>
    <t>US-W03-T1</t>
  </si>
  <si>
    <t>[Front Web] Compte, sites, vendeurs, plages d'accès (web)</t>
  </si>
  <si>
    <t>E06</t>
  </si>
  <si>
    <t>Passation de commandes standard (Stock, RX)</t>
  </si>
  <si>
    <t>Objectif : Permettre à l'opticien de rechercher un produit et de créer une commande Stock ou RX.
Réf. : L1 – Fonctionnel métier / Tâche 1</t>
  </si>
  <si>
    <t>L1 – Fonctionnel métier / Tâche 1</t>
  </si>
  <si>
    <t>US-12</t>
  </si>
  <si>
    <t>Catalogue et recherche produits</t>
  </si>
  <si>
    <t>En tant qu'opticien, je veux rechercher et filtrer le catalogue SIVO, afin de trouver rapidement le produit à commander.
Critères d'acceptation :
• Recherche par référence, libellé, marque ; filtres (type, indice, traitement, disponibilité).
• Résultats paginés, réponse &lt; 1 s sur le volume catalogue réel.
• Recherche sans résultat : message + suggestion de vider les filtres.
• Périmètre agence / stock à valider avant le sprint (point ouvert devis).</t>
  </si>
  <si>
    <t>US-12-T1</t>
  </si>
  <si>
    <t>[Back] Index et vues de recherche catalogue</t>
  </si>
  <si>
    <t>US-12-T2</t>
  </si>
  <si>
    <t>[Back] API catalogue : recherche, filtres, pagination</t>
  </si>
  <si>
    <t>US-12-T3</t>
  </si>
  <si>
    <t>[Front Mobile] Écran catalogue + recherche + filtres</t>
  </si>
  <si>
    <t>US-13</t>
  </si>
  <si>
    <t>Commande Stock (panier)</t>
  </si>
  <si>
    <t>En tant qu'opticien, je veux ajouter des produits stock à un panier et valider ma commande, afin de me réapprovisionner.
Critères d'acceptation :
• Je peux ajouter, modifier la quantité, supprimer une ligne.
• Un produit indisponible ne peut pas être validé (message explicite).
• Le récapitulatif affiche références, quantités et référence de commande avant validation.</t>
  </si>
  <si>
    <t>US-13-T1</t>
  </si>
  <si>
    <t>[Back] Tables commandes / lignes de commande</t>
  </si>
  <si>
    <t>US-13-T2</t>
  </si>
  <si>
    <t>[Back] API panier + règles de validation commande Stock</t>
  </si>
  <si>
    <t>US-13-T3</t>
  </si>
  <si>
    <t>[Front Mobile] Panier et récapitulatif de commande</t>
  </si>
  <si>
    <t>US-14</t>
  </si>
  <si>
    <t>Commande RX (verres sur prescription)</t>
  </si>
  <si>
    <t>En tant qu'opticien, je veux saisir une prescription et commander des verres RX, afin de répondre à l'ordonnance de mon client.
Critères d'acceptation :
• Saisie OD/OG : sphère, cylindre, axe, addition, écarts pupillaires, hauteur.
• Les valeurs hors plage fabricable sont bloquées avec un message champ par champ.
• Seuls les verres compatibles avec la prescription sont proposés.
• Je peux enregistrer un brouillon et le reprendre.</t>
  </si>
  <si>
    <t>US-14-T1</t>
  </si>
  <si>
    <t>[Back] Modèle prescription / porteur / montage</t>
  </si>
  <si>
    <t>US-14-T2</t>
  </si>
  <si>
    <t>[Back] Règles de validation et compatibilité verre ↔ prescription</t>
  </si>
  <si>
    <t>US-14-T3</t>
  </si>
  <si>
    <t>[Front Mobile] Formulaire RX multi-étapes avec contrôles de saisie</t>
  </si>
  <si>
    <t>US-15</t>
  </si>
  <si>
    <t>Validation, transmission et confirmation de commande</t>
  </si>
  <si>
    <t>En tant qu'opticien, je veux une confirmation claire après validation, afin d'être sûr que SIVO a reçu ma commande.
Critères d'acceptation :
• La commande est transmise au SI SIVO et un numéro est retourné.
• En cas d'échec de transmission, la commande reste en 'À transmettre' et est rejouée automatiquement.
• Un e-mail / notification de confirmation est envoyé.</t>
  </si>
  <si>
    <t>US-15-T1</t>
  </si>
  <si>
    <t>[Back] Transmission commande vers SI SIVO + accusé + rejeu</t>
  </si>
  <si>
    <t>US-15-T2</t>
  </si>
  <si>
    <t>[Front Mobile] Écran de confirmation et notifications</t>
  </si>
  <si>
    <t>US-15-T3</t>
  </si>
  <si>
    <t>[Back] Tests E2E du parcours de commande Stock &amp; RX</t>
  </si>
  <si>
    <t>US-45</t>
  </si>
  <si>
    <t>Sélection guidée : monture et options</t>
  </si>
  <si>
    <t>En tant qu'opticien, je veux être guidé client → prescription → monture → verre → options, afin de ne pas commander une combinaison impossible.
Critères d'acceptation :
• Étapes dans l'ordre CDC : client, prescription, monture, verre, options (traitements, teintes).
• Incompatibilité monture/verre détectée en temps réel, avec la raison affichée.
• Panier multi-articles, validation en un clic, numéro de commande immédiat.</t>
  </si>
  <si>
    <t>US-45-T1</t>
  </si>
  <si>
    <t>[Back] Règles de compatibilité monture ↔ verre et options (traitements, teintes)</t>
  </si>
  <si>
    <t>US-45-T2</t>
  </si>
  <si>
    <t>[Front Mobile] Étapes monture + options dans le parcours guidé mobile</t>
  </si>
  <si>
    <t>US-W04</t>
  </si>
  <si>
    <t>Version web — Passation de commandes standard (Stock, RX)</t>
  </si>
  <si>
    <t>En tant qu'utilisateur web, je veux retrouver sur navigateur les fonctions « Passation de commandes standard (Stock, RX) » de l'application mobile, afin de travailler depuis mon poste.
Critères d'acceptation :
• Mêmes règles et mêmes API que la version mobile (aucune logique métier dupliquée).
• Affichage correct sur Chrome, Edge, Safari, Firefox (2 dernières versions), de 1280 px à la tablette.
• Critères d'acceptation des stories mobiles de l'épic re-vérifiés sur le web.</t>
  </si>
  <si>
    <t>US-W04-T1</t>
  </si>
  <si>
    <t>[Front Web] Catalogue, panier, parcours guidé Stock / RX (web)</t>
  </si>
  <si>
    <t>E09</t>
  </si>
  <si>
    <t>Bon de commande Précal digital</t>
  </si>
  <si>
    <t>Objectif : Remplacer le bon précal papier/fax par un bon numérique contrôlé, horodaté et suivi.
Réf. : Devis L2 : 0 J/H → à chiffrer (avenant)</t>
  </si>
  <si>
    <t>E06 (prescription, catalogue) + intégration Oracle SIVO</t>
  </si>
  <si>
    <t>Devis L2 : 0 J/H → à chiffrer (avenant)</t>
  </si>
  <si>
    <t>US-20</t>
  </si>
  <si>
    <t>Saisie du bon précal (champs typés et préremplis)</t>
  </si>
  <si>
    <t>En tant qu'opticien, je veux remplir un bon précal numérique prérempli, afin de ne plus envoyer de fax.
Critères d'acceptation :
• Sections CDC : identification, spécification verre, prescription OD/OG (sphère, cylindre, axe, addition, prisme), centrage (PD/PG, HD/HG, diamètre, épaisseur min.), type de montage, paramètres personnalisés (vertex, pantoscopique, cambrure, distance VP), observations.
• Champs numériques typés (fin de l'ambiguïté 0/8, virgules).
• Client, porteur et données connues préremplis.
• Champs obligatoires selon le type de verre.</t>
  </si>
  <si>
    <t>US-20-T1</t>
  </si>
  <si>
    <t>[Back] Modèle de données bon précal + API (création, brouillon)</t>
  </si>
  <si>
    <t>US-20-T2</t>
  </si>
  <si>
    <t>[Back] Règles : champs obligatoires selon le verre, préremplissage</t>
  </si>
  <si>
    <t>US-20-T3</t>
  </si>
  <si>
    <t>[Front Mobile] Formulaire précal mobile multi-sections</t>
  </si>
  <si>
    <t>US-21</t>
  </si>
  <si>
    <t>Calibre / forme : import traceur ou tracé guidé</t>
  </si>
  <si>
    <t>En tant qu'opticien, je veux importer le tracé de la monture ou le tracer sur une grille, afin que SIVO reçoive des cotes fiables.
Critères d'acceptation :
• Import d'un fichier traceur (format à confirmer, ex. OMA/VCA).
• Tracé guidé sur grille avec points de centrage.
• Contrôle automatique des cotes A / B ; envoi bloqué si incohérence.</t>
  </si>
  <si>
    <t>US-21-T1</t>
  </si>
  <si>
    <t>[Back] Parsing fichier traceur + contrôle cotes A/B</t>
  </si>
  <si>
    <t>US-21-T2</t>
  </si>
  <si>
    <t>[Front Mobile] Tracé guidé sur grille (tactile) + aperçu du contour</t>
  </si>
  <si>
    <t>US-47</t>
  </si>
  <si>
    <t>Contrôles de cohérence et envoi horodaté</t>
  </si>
  <si>
    <t>En tant qu'opticien, je veux que mon bon soit vérifié avant envoi et recevoir un accusé horodaté, afin d'être sûr qu'il est exploitable.
Critères d'acceptation :
• Plages contrôlées à la saisie ; envoi bloqué tant qu'une erreur subsiste.
• Accusé de réception horodaté immédiat après envoi.</t>
  </si>
  <si>
    <t>US-47-T1</t>
  </si>
  <si>
    <t>[Back] Contrôles de plages + envoi + accusé horodaté</t>
  </si>
  <si>
    <t>US-47-T2</t>
  </si>
  <si>
    <t>[Front Mobile] Affichage des erreurs en ligne + écran d'accusé</t>
  </si>
  <si>
    <t>US-48</t>
  </si>
  <si>
    <t>Back-office SIVO : étude précal et statuts</t>
  </si>
  <si>
    <t>En tant que technicien SIVO, je veux saisir les résultats d'étude une seule fois et les envoyer en production, afin de supprimer la ressaisie.
Critères d'acceptation :
• Cases SIVO : base, épaisseur centre, diamètre — saisies dans le back-office.
• Statuts visibles par l'opticien : reçu, en étude, anomalie, validé.
• Validation → transmission directe à la production Oracle.</t>
  </si>
  <si>
    <t>Front Web, Back</t>
  </si>
  <si>
    <t>US-48-T1</t>
  </si>
  <si>
    <t>[Back] Workflow statuts précal + transmission production Oracle</t>
  </si>
  <si>
    <t>US-48-T2</t>
  </si>
  <si>
    <t>[Front Web] Back-office web SIVO : file des précals + saisie des résultats</t>
  </si>
  <si>
    <t>US-49</t>
  </si>
  <si>
    <t>Historique des précals par porteur</t>
  </si>
  <si>
    <t>En tant qu'opticien, je veux retrouver les précals d'un porteur liés à ses commandes, afin de les réutiliser.
Critères d'acceptation :
• Historique par porteur, lien vers la commande associée.
• Duplication d'un précal existant en nouveau brouillon.</t>
  </si>
  <si>
    <t>Medium</t>
  </si>
  <si>
    <t>US-49-T1</t>
  </si>
  <si>
    <t>[Back] API historique + duplication</t>
  </si>
  <si>
    <t>US-49-T2</t>
  </si>
  <si>
    <t>[Front Mobile] Écran historique précal par porteur</t>
  </si>
  <si>
    <t>US-W05</t>
  </si>
  <si>
    <t>Version web — Bon de commande Précal digital</t>
  </si>
  <si>
    <t>En tant qu'utilisateur web, je veux retrouver sur navigateur les fonctions « Bon de commande Précal digital » de l'application mobile, afin de travailler depuis mon poste.
Critères d'acceptation :
• Mêmes règles et mêmes API que la version mobile (aucune logique métier dupliquée).
• Affichage correct sur Chrome, Edge, Safari, Firefox (2 dernières versions), de 1280 px à la tablette.
• Critères d'acceptation des stories mobiles de l'épic re-vérifiés sur le web.</t>
  </si>
  <si>
    <t>US-W05-T1</t>
  </si>
  <si>
    <t>[Front Web] Formulaire précal + tracé guidé + historique (web)</t>
  </si>
  <si>
    <t>E07</t>
  </si>
  <si>
    <t>Suivi des commandes</t>
  </si>
  <si>
    <t>Objectif : Permettre à l'opticien de suivre l'état et l'historique de ses commandes.
Réf. : L1 – Fonctionnel métier / Tâche 2</t>
  </si>
  <si>
    <t>L1 – Fonctionnel métier / Tâche 2</t>
  </si>
  <si>
    <t>US-16</t>
  </si>
  <si>
    <t>Liste, détail et historique des commandes</t>
  </si>
  <si>
    <t>En tant qu'opticien, je veux consulter la liste et le détail de mes commandes, afin de répondre à mes clients.
Critères d'acceptation :
• Liste filtrable par statut, date, type (Stock / RX), recherche par n° de commande.
• Le détail affiche lignes, prescription (RX) et historique des statuts.
• État vide : message + lien vers 'Nouvelle commande'.</t>
  </si>
  <si>
    <t>US-16-T1</t>
  </si>
  <si>
    <t>[Back] API liste / détail / historique des commandes</t>
  </si>
  <si>
    <t>US-16-T2</t>
  </si>
  <si>
    <t>[Front Mobile] Écrans liste filtrable + détail commande</t>
  </si>
  <si>
    <t>US-17</t>
  </si>
  <si>
    <t>Statuts et cycle de vie des commandes</t>
  </si>
  <si>
    <t>En tant qu'opticien, je veux voir le statut à jour de chaque commande, afin d'anticiper la livraison.
Critères d'acceptation :
• Statuts CDC : réceptionnée, en étude, en fabrication, expédiée, livrée, litige — historique horodaté.
• Statuts synchronisés depuis Oracle SIVO (fréquence à valider).
• Une transition invalide est rejetée et journalisée.</t>
  </si>
  <si>
    <t>US-17-T1</t>
  </si>
  <si>
    <t>[Back] Référentiel statuts + transitions autorisées</t>
  </si>
  <si>
    <t>US-17-T2</t>
  </si>
  <si>
    <t>[Back] Machine à états + synchronisation des statuts SIVO</t>
  </si>
  <si>
    <t>US-17-T3</t>
  </si>
  <si>
    <t>[Front Mobile] Timeline des statuts dans le détail commande</t>
  </si>
  <si>
    <t>US-46</t>
  </si>
  <si>
    <t>Notifications push, e-mail et SMS</t>
  </si>
  <si>
    <t>En tant qu'opticien, je veux être notifié quand une commande change de statut clé, afin de ne pas avoir à vérifier moi-même.
Critères d'acceptation :
• Notification push (iOS / Android), e-mail et SMS sur les statuts clés (liste à valider).
• L'opticien choisit ses canaux dans ses préférences.
• Échec d'envoi journalisé et rejoué ; pas de doublon.</t>
  </si>
  <si>
    <t>US-46-T1</t>
  </si>
  <si>
    <t>[Back] Service de notifications (FCM / APNs, e-mail, fournisseur SMS) + file de rejeu</t>
  </si>
  <si>
    <t>US-46-T2</t>
  </si>
  <si>
    <t>[Front Mobile] Inscription push + écran de préférences de notification</t>
  </si>
  <si>
    <t>US-46-T3</t>
  </si>
  <si>
    <t>[DevOps] Configuration certificats push et fournisseur SMS par environnement</t>
  </si>
  <si>
    <t>US-W06</t>
  </si>
  <si>
    <t>Version web — Suivi des commandes</t>
  </si>
  <si>
    <t>En tant qu'utilisateur web, je veux retrouver sur navigateur les fonctions « Suivi des commandes » de l'application mobile, afin de travailler depuis mon poste.
Critères d'acceptation :
• Mêmes règles et mêmes API que la version mobile (aucune logique métier dupliquée).
• Affichage correct sur Chrome, Edge, Safari, Firefox (2 dernières versions), de 1280 px à la tablette.
• Critères d'acceptation des stories mobiles de l'épic re-vérifiés sur le web.</t>
  </si>
  <si>
    <t>US-W06-T1</t>
  </si>
  <si>
    <t>[Front Web] Liste / détail / timeline + préférences notifications (web)</t>
  </si>
  <si>
    <t>E13</t>
  </si>
  <si>
    <t>Réclamation (dont cas d'inadaptation)</t>
  </si>
  <si>
    <t>Objectif : Permettre de déclarer, traiter et suivre une réclamation.
Réf. : L2 devis – Réclamation (déplacé en Lot 1 par le CDC v2)</t>
  </si>
  <si>
    <t>E01, E02 + règles métier SIVO</t>
  </si>
  <si>
    <t>L2 devis – Réclamation (déplacé en Lot 1 par le CDC v2)</t>
  </si>
  <si>
    <t>US-24</t>
  </si>
  <si>
    <t>Déclarer une réclamation</t>
  </si>
  <si>
    <t>En tant qu'opticien, je veux déclarer une réclamation liée à une commande avec pièces jointes, afin d'obtenir un traitement rapide.
Critères d'acceptation :
• Déclaration depuis la fiche commande ; motifs CDC : non-conformité, casse, intolérance porteur, erreur de livraison.
• Pièces jointes : photos, ordonnance, commentaire (formats / taille à valider).
• Numéro de réclamation attribué et accusé envoyé.</t>
  </si>
  <si>
    <t>US-24-T1</t>
  </si>
  <si>
    <t>[Back] Modèle réclamation, motifs, pièces jointes</t>
  </si>
  <si>
    <t>US-24-T2</t>
  </si>
  <si>
    <t>[Back] API création réclamation + upload sécurisé</t>
  </si>
  <si>
    <t>US-24-T3</t>
  </si>
  <si>
    <t>[Front Mobile] Formulaire de déclaration + pièces jointes</t>
  </si>
  <si>
    <t>US-25</t>
  </si>
  <si>
    <t>Workflow de traitement côté SIVO</t>
  </si>
  <si>
    <t>En tant que gestionnaire SIVO, je veux traiter les réclamations selon un workflow, afin de respecter nos délais de réponse.
Critères d'acceptation :
• Workflow CDC : déclaration → diagnostic SIVO → décision (reprise, échange, avoir) → clôture.
• Affectation à un gestionnaire, commentaires internes non visibles par l'opticien.
• Notification à l'opticien à chaque changement de statut.</t>
  </si>
  <si>
    <t>US-25-T1</t>
  </si>
  <si>
    <t>[Back] Workflow : statuts, affectation, délais</t>
  </si>
  <si>
    <t>US-25-T2</t>
  </si>
  <si>
    <t>[Front Web] Back-office SIVO (web) de traitement des réclamations</t>
  </si>
  <si>
    <t>US-25-T3</t>
  </si>
  <si>
    <t>[Back] Historisation des actions sur réclamation</t>
  </si>
  <si>
    <t>US-25-T4</t>
  </si>
  <si>
    <t>[Back] Notifications e-mail aux changements de statut</t>
  </si>
  <si>
    <t>US-26</t>
  </si>
  <si>
    <t>Suivre mes réclamations</t>
  </si>
  <si>
    <t>En tant qu'opticien, je veux suivre mes réclamations et échanger avec SIVO, afin de savoir où en est mon dossier.
Critères d'acceptation :
• Liste et détail de mes réclamations avec historique des statuts.
• Je peux répondre à une demande de complément de SIVO.</t>
  </si>
  <si>
    <t>US-26-T1</t>
  </si>
  <si>
    <t>[Back] API suivi et échanges réclamation</t>
  </si>
  <si>
    <t>US-26-T2</t>
  </si>
  <si>
    <t>[Front Mobile] Écrans liste / détail / échanges</t>
  </si>
  <si>
    <t>US-27</t>
  </si>
  <si>
    <t>Recette du module réclamation</t>
  </si>
  <si>
    <t>En tant que PO, je veux un module réclamation testé de bout en bout, afin de le livrer en production sans régression.
Critères d'acceptation :
• Scénarios E2E déclaration → traitement → clôture verts dans la CI.
• PV de recette Lot 2 signé par SIVO.</t>
  </si>
  <si>
    <t>US-27-T1</t>
  </si>
  <si>
    <t>[Back] Tests d'intégration réclamation</t>
  </si>
  <si>
    <t>US-27-T2</t>
  </si>
  <si>
    <t>[Front Mobile] Tests E2E parcours réclamation</t>
  </si>
  <si>
    <t>US-W07</t>
  </si>
  <si>
    <t>Version web — Réclamation (dont cas d'inadaptation)</t>
  </si>
  <si>
    <t>En tant qu'utilisateur web, je veux retrouver sur navigateur les fonctions « Réclamation (dont cas d'inadaptation) » de l'application mobile, afin de travailler depuis mon poste.
Critères d'acceptation :
• Mêmes règles et mêmes API que la version mobile (aucune logique métier dupliquée).
• Affichage correct sur Chrome, Edge, Safari, Firefox (2 dernières versions), de 1280 px à la tablette.
• Critères d'acceptation des stories mobiles de l'épic re-vérifiés sur le web.</t>
  </si>
  <si>
    <t>US-W07-T1</t>
  </si>
  <si>
    <t>[Front Web] Déclaration et suivi des réclamations (web)</t>
  </si>
  <si>
    <t>E08</t>
  </si>
  <si>
    <t>Articles favoris</t>
  </si>
  <si>
    <t>Objectif : Permettre à l'opticien de retrouver rapidement ses produits fréquents.
Réf. : L2 – Fonctionnel métier / Articles favoris</t>
  </si>
  <si>
    <t>L2 – Fonctionnel métier / Articles favoris</t>
  </si>
  <si>
    <t>US-18</t>
  </si>
  <si>
    <t>Gérer mes articles favoris</t>
  </si>
  <si>
    <t>En tant qu'opticien, je veux ajouter / retirer un produit de mes favoris, afin de le retrouver en un clic.
Critères d'acceptation :
• Icône favori sur la fiche et la liste produits ; état mis à jour sans rechargement.
• Les favoris sont propres à chaque opticien.
• Un produit retiré du catalogue apparaît grisé dans les favoris.</t>
  </si>
  <si>
    <t>US-18-T1</t>
  </si>
  <si>
    <t>[Back] Table favoris (opticien, produit)</t>
  </si>
  <si>
    <t>US-18-T2</t>
  </si>
  <si>
    <t>[Back] API ajout / suppression / liste des favoris</t>
  </si>
  <si>
    <t>US-18-T3</t>
  </si>
  <si>
    <t>[Front Mobile] Bouton favori + page 'Mes favoris'</t>
  </si>
  <si>
    <t>US-18-T4</t>
  </si>
  <si>
    <t>[Front Mobile] Modifier et réordonner les favoris (glisser-déposer)</t>
  </si>
  <si>
    <t>US-18-T5</t>
  </si>
  <si>
    <t>[Back] API de réordonnancement / modification d'un favori</t>
  </si>
  <si>
    <t>US-19</t>
  </si>
  <si>
    <t>Commander depuis mes favoris</t>
  </si>
  <si>
    <t>En tant qu'opticien, je veux ajouter un favori au panier directement, afin de commander plus vite.
Critères d'acceptation :
• Depuis 'Mes favoris', ajout au panier avec quantité.
• Le parcours de commande Stock reste identique (mêmes contrôles).</t>
  </si>
  <si>
    <t>US-19-T1</t>
  </si>
  <si>
    <t>[Front Mobile] Ajout au panier depuis la page favoris</t>
  </si>
  <si>
    <t>US-19-T2</t>
  </si>
  <si>
    <t>[Back] Tests du parcours favoris → commande</t>
  </si>
  <si>
    <t>US-W08</t>
  </si>
  <si>
    <t>Version web — Articles favoris</t>
  </si>
  <si>
    <t>En tant qu'utilisateur web, je veux retrouver sur navigateur les fonctions « Articles favoris » de l'application mobile, afin de travailler depuis mon poste.
Critères d'acceptation :
• Mêmes règles et mêmes API que la version mobile (aucune logique métier dupliquée).
• Affichage correct sur Chrome, Edge, Safari, Firefox (2 dernières versions), de 1280 px à la tablette.
• Critères d'acceptation des stories mobiles de l'épic re-vérifiés sur le web.</t>
  </si>
  <si>
    <t>US-W08-T1</t>
  </si>
  <si>
    <t>[Front Web] Favoris (web)</t>
  </si>
  <si>
    <t>E12</t>
  </si>
  <si>
    <t>Tracking &amp; décharge électronique – Phase 1</t>
  </si>
  <si>
    <t>Objectif : Suivre la livraison et disposer d'une preuve de décharge électronique horodatée.
Réf. : L2 – Fonctionnel métier / Tâche 2</t>
  </si>
  <si>
    <t>E01, E02 + données de livraison SIVO</t>
  </si>
  <si>
    <t>L2 – Fonctionnel métier / Tâche 2</t>
  </si>
  <si>
    <t>US-22</t>
  </si>
  <si>
    <t>Suivi de livraison</t>
  </si>
  <si>
    <t>En tant qu'opticien, je veux voir où en est la livraison de ma commande, afin de prévenir mon client.
Critères d'acceptation :
• Statuts CDC : expédiée, en transit, en livraison, livrée.
• Données livraison absentes : message 'informations non encore disponibles'.</t>
  </si>
  <si>
    <t>US-22-T1</t>
  </si>
  <si>
    <t>[Back] Modèle livraison / BL</t>
  </si>
  <si>
    <t>US-22-T2</t>
  </si>
  <si>
    <t>[Back] Intégration des données de livraison SIVO</t>
  </si>
  <si>
    <t>US-22-T3</t>
  </si>
  <si>
    <t>[Front Mobile] Écran de tracking dans le détail commande</t>
  </si>
  <si>
    <t>US-23</t>
  </si>
  <si>
    <t>Décharge électronique (signature, code ou photo)</t>
  </si>
  <si>
    <t>En tant que livreur / opticien, je veux signer électroniquement la réception, afin de disposer d'une preuve de livraison.
Critères d'acceptation :
• Preuve au choix : signature tactile, code de réception ou photo — horodatée côté serveur.
• Une preuve PDF non modifiable (empreinte hash) est générée et consultable.
• Une décharge ne peut pas être faite deux fois.</t>
  </si>
  <si>
    <t>US-23-T1</t>
  </si>
  <si>
    <t>[Front Mobile] Composant de signature tactile</t>
  </si>
  <si>
    <t>US-23-T2</t>
  </si>
  <si>
    <t>[Back] Horodatage serveur + génération PDF de preuve</t>
  </si>
  <si>
    <t>US-23-T3</t>
  </si>
  <si>
    <t>[Back] Stockage des preuves + empreinte d'intégrité</t>
  </si>
  <si>
    <t>US-23-T4</t>
  </si>
  <si>
    <t>[Back] Tests du flux de décharge</t>
  </si>
  <si>
    <t>US-23-T5</t>
  </si>
  <si>
    <t>[Back] Preuve par code de réception ou photo</t>
  </si>
  <si>
    <t>US-23-T6</t>
  </si>
  <si>
    <t>[Front Mobile] Saisie du code / prise de photo de réception</t>
  </si>
  <si>
    <t>US-W09</t>
  </si>
  <si>
    <t>Version web — Tracking &amp; décharge électronique – Phase 1</t>
  </si>
  <si>
    <t>En tant qu'utilisateur web, je veux retrouver sur navigateur les fonctions « Tracking &amp; décharge électronique – Phase 1 » de l'application mobile, afin de travailler depuis mon poste.
Critères d'acceptation :
• Mêmes règles et mêmes API que la version mobile (aucune logique métier dupliquée).
• Affichage correct sur Chrome, Edge, Safari, Firefox (2 dernières versions), de 1280 px à la tablette.
• Critères d'acceptation des stories mobiles de l'épic re-vérifiés sur le web.</t>
  </si>
  <si>
    <t>US-W09-T1</t>
  </si>
  <si>
    <t>[Front Web] Tracking et décharge (web)</t>
  </si>
  <si>
    <t>E19</t>
  </si>
  <si>
    <t>Espace commercial</t>
  </si>
  <si>
    <t>Objectif : Donner au représentant SIVO une vue de son portefeuille et lui permettre de commander pour ses clients.
Réf. : Hors devis — CDC v2 §3.9 (avenant)</t>
  </si>
  <si>
    <t>E02 (rôle Commercial), E06, E13</t>
  </si>
  <si>
    <t>Hors devis — CDC v2 §3.9 (avenant)</t>
  </si>
  <si>
    <t>US-56</t>
  </si>
  <si>
    <t>Portefeuille clients du représentant</t>
  </si>
  <si>
    <t>En tant que représentant SIVO, je veux voir la liste de mes clients opticiens, afin de préparer mes visites.
Critères d'acceptation :
• Le représentant ne voit que les clients de son portefeuille (affectation issue d'Oracle / SIVO).
• Recherche et filtre par ville, chiffre d'affaires, dernière commande.</t>
  </si>
  <si>
    <t>US-56-T1</t>
  </si>
  <si>
    <t>[Back] Modèle portefeuille représentant ↔ clients + API</t>
  </si>
  <si>
    <t>US-56-T2</t>
  </si>
  <si>
    <t>[Front Mobile] Écran portefeuille clients</t>
  </si>
  <si>
    <t>US-57</t>
  </si>
  <si>
    <t>Activité et réclamations par client</t>
  </si>
  <si>
    <t>En tant que représentant SIVO, je veux voir l'activité et les réclamations d'un client, afin d'anticiper ses besoins.
Critères d'acceptation :
• Fiche client : commandes récentes, volumes, réclamations ouvertes.
• Accès en lecture seule aux réclamations.</t>
  </si>
  <si>
    <t>US-57-T1</t>
  </si>
  <si>
    <t>[Back] API d'agrégats d'activité par client</t>
  </si>
  <si>
    <t>US-57-T2</t>
  </si>
  <si>
    <t>[Front Mobile] Fiche client : activité + réclamations</t>
  </si>
  <si>
    <t>US-58</t>
  </si>
  <si>
    <t>Commander pour le compte d'un client</t>
  </si>
  <si>
    <t>En tant que représentant SIVO, je veux passer une commande pour un client, afin de l'aider pendant ma visite.
Critères d'acceptation :
• Le parcours de commande standard est réutilisé avec le client choisi.
• La commande indique 'passée par [représentant] pour [client]' (audit).
• Le client est notifié de la commande créée pour lui.</t>
  </si>
  <si>
    <t>US-58-T1</t>
  </si>
  <si>
    <t>[Back] Commande 'pour le compte de' + journal d'audit</t>
  </si>
  <si>
    <t>US-58-T2</t>
  </si>
  <si>
    <t>[Front Mobile] Sélection du client avant le parcours de commande</t>
  </si>
  <si>
    <t>US-W10</t>
  </si>
  <si>
    <t>Version web — Espace commercial</t>
  </si>
  <si>
    <t>En tant qu'utilisateur web, je veux retrouver sur navigateur les fonctions « Espace commercial » de l'application mobile, afin de travailler depuis mon poste.
Critères d'acceptation :
• Mêmes règles et mêmes API que la version mobile (aucune logique métier dupliquée).
• Affichage correct sur Chrome, Edge, Safari, Firefox (2 dernières versions), de 1280 px à la tablette.
• Critères d'acceptation des stories mobiles de l'épic re-vérifiés sur le web.</t>
  </si>
  <si>
    <t>US-W10-T1</t>
  </si>
  <si>
    <t>[Front Web] Espace commercial (web)</t>
  </si>
  <si>
    <t>E10</t>
  </si>
  <si>
    <t>Système de recommandation</t>
  </si>
  <si>
    <t>Objectif : Recommander le verre le plus adapté selon les données et règles métier.
Réf. : L3 – IA / Tâche 1</t>
  </si>
  <si>
    <t>Règles métier + données produits / historiques SIVO</t>
  </si>
  <si>
    <t>L3 – IA / Tâche 1</t>
  </si>
  <si>
    <t>US-28</t>
  </si>
  <si>
    <t>Données et critères de recommandation</t>
  </si>
  <si>
    <t>En tant qu'expert produit SIVO, je veux valider les critères de recommandation, afin que les suggestions respectent nos règles.
Critères d'acceptation :
• Critères (prescription, usage, âge, historique) documentés et validés par SIVO.
• Jeu d'entraînement / test extrait, anonymisé, avec split figé.</t>
  </si>
  <si>
    <t>Back, IA</t>
  </si>
  <si>
    <t>US-28-T1</t>
  </si>
  <si>
    <t>[Back] Extraction des historiques de commandes anonymisés</t>
  </si>
  <si>
    <t>US-28-T2</t>
  </si>
  <si>
    <t>[IA] Analyse des données + feature engineering</t>
  </si>
  <si>
    <t>US-29</t>
  </si>
  <si>
    <t>Moteur de recommandation</t>
  </si>
  <si>
    <t>En tant qu'opticien, je veux recevoir les 3 verres les plus adaptés, afin de conseiller mon client plus vite.
Critères d'acceptation :
• Recall@3 ≥ seuil validé (proposé : 70 %) sur le jeu de test historique.
• Aucune recommandation incompatible avec la prescription (règles dures = 0 violation).
• Latence API &lt; 500 ms (p95).
• Fallback : sans données suffisantes, afficher les meilleures ventes compatibles.</t>
  </si>
  <si>
    <t>US-29-T1</t>
  </si>
  <si>
    <t>[IA] Modèle hybride règles métier + ML (ranking)</t>
  </si>
  <si>
    <t>US-29-T2</t>
  </si>
  <si>
    <t>[IA] Évaluation offline (Recall@k, nDCG) + rapport</t>
  </si>
  <si>
    <t>US-29-T3</t>
  </si>
  <si>
    <t>[Back] API de recommandation versionnée</t>
  </si>
  <si>
    <t>US-30</t>
  </si>
  <si>
    <t>Recommandation dans le parcours de commande</t>
  </si>
  <si>
    <t>En tant qu'opticien, je veux voir la recommandation et sa justification pendant ma commande RX, afin de l'accepter ou l'ignorer.
Critères d'acceptation :
• Bloc 'Recommandé pour ce porteur' avec 1 phrase de justification.
• Accepter / ignorer est tracé (feedback pour amélioration).
• Si le service IA est indisponible, la commande reste possible (dégradation silencieuse).</t>
  </si>
  <si>
    <t>Front Mobile, Back, IA</t>
  </si>
  <si>
    <t>Front, Back, IA</t>
  </si>
  <si>
    <t>US-30-T1</t>
  </si>
  <si>
    <t>[Front Mobile] Affichage des recommandations + justification</t>
  </si>
  <si>
    <t>US-30-T2</t>
  </si>
  <si>
    <t>[Back] Filtres de compatibilité + tracking du feedback</t>
  </si>
  <si>
    <t>US-30-T3</t>
  </si>
  <si>
    <t>[IA] Ajustement du modèle à partir des retours de recette</t>
  </si>
  <si>
    <t>US-W11</t>
  </si>
  <si>
    <t>Version web — Système de recommandation</t>
  </si>
  <si>
    <t>En tant qu'utilisateur web, je veux retrouver sur navigateur les fonctions « Système de recommandation » de l'application mobile, afin de travailler depuis mon poste.
Critères d'acceptation :
• Mêmes règles et mêmes API que la version mobile (aucune logique métier dupliquée).
• Affichage correct sur Chrome, Edge, Safari, Firefox (2 dernières versions), de 1280 px à la tablette.
• Critères d'acceptation des stories mobiles de l'épic re-vérifiés sur le web.</t>
  </si>
  <si>
    <t>US-W11-T1</t>
  </si>
  <si>
    <t>[Front Web] Bloc de recommandation (web)</t>
  </si>
  <si>
    <t>E11</t>
  </si>
  <si>
    <t>Chatbot IA (suivi, réponse formelle, création depuis formulaire)</t>
  </si>
  <si>
    <t>Objectif : Permettre à l'opticien d'obtenir des réponses fiables basées sur les sources SIVO et ses propres commandes.
Réf. : L3 – IA / Tâche 2</t>
  </si>
  <si>
    <t>Documentation / base de connaissances SIVO</t>
  </si>
  <si>
    <t>L3 – IA / Tâche 2</t>
  </si>
  <si>
    <t>US-31</t>
  </si>
  <si>
    <t>Base de connaissances SIVO (RAG)</t>
  </si>
  <si>
    <t>En tant qu'opticien, je veux des réponses fondées sur la documentation SIVO avec la source citée, afin de pouvoir m'y fier.
Critères d'acceptation :
• Seules les sources autorisées par SIVO sont indexées.
• ≥ 90 % des réponses du jeu d'évaluation citent une source pertinente.
• Hors périmètre : le bot répond qu'il ne sait pas et propose le contact support.</t>
  </si>
  <si>
    <t>US-31-T1</t>
  </si>
  <si>
    <t>[IA] Pipeline d'ingestion : extraction, chunking, embeddings</t>
  </si>
  <si>
    <t>US-31-T2</t>
  </si>
  <si>
    <t>[Back] Base vectorielle + mise à jour incrémentale</t>
  </si>
  <si>
    <t>US-31-T3</t>
  </si>
  <si>
    <t>[IA] Retrieval + génération avec citations</t>
  </si>
  <si>
    <t>US-31-T4</t>
  </si>
  <si>
    <t>[Back] Connecteurs vers les sources documentaires SIVO</t>
  </si>
  <si>
    <t>US-32</t>
  </si>
  <si>
    <t>Suivi de commande conversationnel</t>
  </si>
  <si>
    <t>En tant qu'opticien, je veux demander au chatbot le statut de ma commande, afin d'avoir la réponse sans naviguer.
Critères d'acceptation :
• 'Où en est ma commande 12345 ?' → statut exact issu de l'API (0 statut inventé).
• Le bot n'accède qu'aux commandes de l'opticien connecté.
• Commande introuvable : réponse explicite + lien vers la liste des commandes.</t>
  </si>
  <si>
    <t>US-32-T1</t>
  </si>
  <si>
    <t>[IA] Orchestration agent + appels d'outils (statut, détail commande)</t>
  </si>
  <si>
    <t>US-32-T2</t>
  </si>
  <si>
    <t>[Back] API outils sécurisées, scopées à l'opticien</t>
  </si>
  <si>
    <t>US-32-T3</t>
  </si>
  <si>
    <t>[IA] Prompt système et garde-fous de réponse</t>
  </si>
  <si>
    <t>US-33</t>
  </si>
  <si>
    <t>Rédaction de réponse formelle</t>
  </si>
  <si>
    <t>En tant que gestionnaire SIVO, je veux qu'une réponse formelle soit proposée à partir d'un dossier, afin de gagner du temps de rédaction.
Critères d'acceptation :
• La réponse respecte le gabarit et le ton validés par SIVO.
• Toujours un brouillon : validation humaine obligatoire avant envoi.
• Taux de réponses acceptées sans modification majeure mesuré en recette.</t>
  </si>
  <si>
    <t>Front Web, Back, IA</t>
  </si>
  <si>
    <t>US-33-T1</t>
  </si>
  <si>
    <t>[IA] Génération de réponses formelles par gabarits</t>
  </si>
  <si>
    <t>US-33-T2</t>
  </si>
  <si>
    <t>[Back] Circuit de validation humaine avant envoi</t>
  </si>
  <si>
    <t>US-33-T3</t>
  </si>
  <si>
    <t>[Front Web] Actions éditer / copier / envoyer le brouillon</t>
  </si>
  <si>
    <t>US-34</t>
  </si>
  <si>
    <t>Création d'une demande depuis la conversation</t>
  </si>
  <si>
    <t>En tant qu'opticien, je veux que le chatbot pré-remplisse un formulaire (réclamation, commande) à partir de ma demande, afin de ne pas tout ressaisir.
Critères d'acceptation :
• Le bot extrait les champs et affiche le formulaire pré-rempli ; rien n'est créé sans confirmation.
• Les champs incertains sont signalés pour vérification.
• Les contrôles métier du formulaire standard s'appliquent.</t>
  </si>
  <si>
    <t>US-34-T1</t>
  </si>
  <si>
    <t>[IA] Détection d'intention + extraction de champs (structured output)</t>
  </si>
  <si>
    <t>US-34-T2</t>
  </si>
  <si>
    <t>[Back] Création de brouillon via les API existantes</t>
  </si>
  <si>
    <t>US-34-T3</t>
  </si>
  <si>
    <t>[Front Mobile] Écran de confirmation du formulaire pré-rempli</t>
  </si>
  <si>
    <t>US-35</t>
  </si>
  <si>
    <t>Widget de chat et historique</t>
  </si>
  <si>
    <t>En tant qu'opticien, je veux un chat accessible sur toutes les pages, afin de poser une question à tout moment.
Critères d'acceptation :
• Réponses en streaming, premier token &lt; 3 s (p95).
• Historique des conversations consultable par l'utilisateur ; bouton 👍/👎 sur chaque réponse.</t>
  </si>
  <si>
    <t>US-35-T1</t>
  </si>
  <si>
    <t>[Front Mobile] Écran de chat mobile (streaming, feedback)</t>
  </si>
  <si>
    <t>US-35-T2</t>
  </si>
  <si>
    <t>[Back] Endpoint chat + gestion de l'historique</t>
  </si>
  <si>
    <t>US-35-T3</t>
  </si>
  <si>
    <t>[Back] Stockage des conversations et feedbacks</t>
  </si>
  <si>
    <t>US-50</t>
  </si>
  <si>
    <t>FAQ produit, aide à la saisie précal et escalade conseiller</t>
  </si>
  <si>
    <t>En tant qu'opticien, je veux que le chatbot m'aide sur les produits et la saisie précal et me passe un conseiller si besoin, afin de ne pas rester bloqué.
Critères d'acceptation :
• Réponses FAQ produit avec source citée.
• Aide contextuelle sur un champ du bon précal (définition, plage autorisée).
• Escalade vers un conseiller avec transmission de l'historique de conversation.</t>
  </si>
  <si>
    <t>US-50-T1</t>
  </si>
  <si>
    <t>[IA] Intentions FAQ / aide précal + règles d'escalade</t>
  </si>
  <si>
    <t>US-50-T2</t>
  </si>
  <si>
    <t>[Back] API d'escalade vers conseiller (ticket / file support)</t>
  </si>
  <si>
    <t>US-50-T3</t>
  </si>
  <si>
    <t>[Front Mobile] Bouton 'Parler à un conseiller' + aide contextuelle précal</t>
  </si>
  <si>
    <t>US-W12</t>
  </si>
  <si>
    <t>Version web — Chatbot IA (suivi, réponse formelle, création depuis formulaire)</t>
  </si>
  <si>
    <t>En tant qu'utilisateur web, je veux retrouver sur navigateur les fonctions « Chatbot IA (suivi, réponse formelle, création depuis formulaire) » de l'application mobile, afin de travailler depuis mon poste.
Critères d'acceptation :
• Mêmes règles et mêmes API que la version mobile (aucune logique métier dupliquée).
• Affichage correct sur Chrome, Edge, Safari, Firefox (2 dernières versions), de 1280 px à la tablette.
• Critères d'acceptation des stories mobiles de l'épic re-vérifiés sur le web.</t>
  </si>
  <si>
    <t>US-W12-T1</t>
  </si>
  <si>
    <t>[Front Web] Widget de chat (web)</t>
  </si>
  <si>
    <t>E14</t>
  </si>
  <si>
    <t>Tests &amp; évaluation IA + charge &amp; performance</t>
  </si>
  <si>
    <t>Objectif : Prouver la qualité et la tenue en charge des modules IA avant production.
Réf. : L3 – Qualité &amp; exploitation / Tâche 1</t>
  </si>
  <si>
    <t>E10, E11 stables + environnement représentatif</t>
  </si>
  <si>
    <t>L3 – Qualité &amp; exploitation / Tâche 1</t>
  </si>
  <si>
    <t>US-36</t>
  </si>
  <si>
    <t>Jeu d'évaluation et évaluation des modules IA</t>
  </si>
  <si>
    <t>En tant que PO, je veux un rapport d'évaluation chiffré, afin de décider du go/no-go des modules IA.
Critères d'acceptation :
• Golden dataset ≥ 100 questions validé par SIVO.
• Mesures : taux de réponses justifiées, taux d'hallucination, Recall@k reco.
• Seuils go/no-go définis et atteints, ou écarts documentés.</t>
  </si>
  <si>
    <t>US-36-T1</t>
  </si>
  <si>
    <t>[IA] Constitution du golden dataset avec SIVO</t>
  </si>
  <si>
    <t>US-36-T2</t>
  </si>
  <si>
    <t>[IA] Évaluation automatisée (fidélité, hallucination, pertinence)</t>
  </si>
  <si>
    <t>US-36-T3</t>
  </si>
  <si>
    <t>[IA] Rapport d'évaluation + recommandations</t>
  </si>
  <si>
    <t>US-37</t>
  </si>
  <si>
    <t>Tests de charge et performance IA</t>
  </si>
  <si>
    <t>En tant qu'IT SIVO, je veux connaître la tenue en charge, afin de dimensionner la production.
Critères d'acceptation :
• Scénarios avec N utilisateurs simultanés (N à valider) exécutés.
• p95 chat &lt; 3 s premier token, reco &lt; 500 ms, taux d'erreur &lt; 1 %.
• Coût IA par conversation mesuré.</t>
  </si>
  <si>
    <t>Back, IA, DevOps</t>
  </si>
  <si>
    <t>US-37-T1</t>
  </si>
  <si>
    <t>[DevOps] Scénarios de charge (k6 / JMeter) + environnement</t>
  </si>
  <si>
    <t>US-37-T2</t>
  </si>
  <si>
    <t>[Back] Exécution des tests de charge API &amp; chat</t>
  </si>
  <si>
    <t>US-37-T3</t>
  </si>
  <si>
    <t>[IA] Optimisations (cache, batching, taille de contexte)</t>
  </si>
  <si>
    <t>E17</t>
  </si>
  <si>
    <t>Sécurité IA &amp; données</t>
  </si>
  <si>
    <t>Objectif : Garantir que les modules IA résistent à l'injection de prompt et ne fuient pas de données.
Réf. : L3 – Qualité &amp; exploitation / Tâche 2</t>
  </si>
  <si>
    <t>L3 – Qualité &amp; exploitation / Tâche 2</t>
  </si>
  <si>
    <t>US-38</t>
  </si>
  <si>
    <t>Tests d'injection de prompt et de fuite de données</t>
  </si>
  <si>
    <t>En tant que responsable sécurité SIVO, je veux que le chatbot résiste aux attaques connues, afin de protéger les données de nos clients.
Critères d'acceptation :
• Campagne ≥ 50 attaques (injection directe / indirecte, jailbreak) : 0 fuite de données d'un autre opticien.
• Le prompt système n'est jamais divulgué.
• Toute vulnérabilité critique est corrigée et re-testée.</t>
  </si>
  <si>
    <t>US-38-T1</t>
  </si>
  <si>
    <t>[IA] Red teaming : injection de prompt et jailbreak</t>
  </si>
  <si>
    <t>US-38-T2</t>
  </si>
  <si>
    <t>[IA] Tests de fuite de données inter-opticiens</t>
  </si>
  <si>
    <t>US-38-T3</t>
  </si>
  <si>
    <t>[Back] Correctifs : filtres entrée / sortie, cloisonnement</t>
  </si>
  <si>
    <t>US-38-T4</t>
  </si>
  <si>
    <t>[IA] Rapport de sécurité IA</t>
  </si>
  <si>
    <t>E15</t>
  </si>
  <si>
    <t>Supervision, sauvegarde, monitoring &amp; reprise</t>
  </si>
  <si>
    <t>Objectif : Surveiller l'application et garantir la récupération des données et services.
Réf. : L3 – Qualité &amp; exploitation / Tâche 3</t>
  </si>
  <si>
    <t>E03, E05</t>
  </si>
  <si>
    <t>L3 – Qualité &amp; exploitation / Tâche 3</t>
  </si>
  <si>
    <t>US-39</t>
  </si>
  <si>
    <t>Logs centralisés et métriques</t>
  </si>
  <si>
    <t>En tant qu'IT SIVO, je veux un tableau de bord de santé, afin de détecter un problème avant les utilisateurs.
Critères d'acceptation :
• Logs front / back / IA centralisés et corrélés par identifiant de requête.
• Dashboard : disponibilité, latence, erreurs, volumétrie commandes.</t>
  </si>
  <si>
    <t>US-39-T1</t>
  </si>
  <si>
    <t>[DevOps] Stack de logs centralisés (ELK / Loki)</t>
  </si>
  <si>
    <t>US-39-T2</t>
  </si>
  <si>
    <t>[DevOps] Métriques et dashboards (Prometheus / Grafana)</t>
  </si>
  <si>
    <t>US-39-T3</t>
  </si>
  <si>
    <t>[Back] Instrumentation applicative (logs structurés, traces)</t>
  </si>
  <si>
    <t>US-40</t>
  </si>
  <si>
    <t>Alertes et monitoring IA</t>
  </si>
  <si>
    <t>En tant qu'IT SIVO, je veux être alerté en cas d'incident ou de dérive IA, afin de réagir rapidement.
Critères d'acceptation :
• Alertes sur indisponibilité, taux d'erreur, latence, coût IA journalier.
• Suivi du taux de 👎 et des réponses 'je ne sais pas' du chatbot.</t>
  </si>
  <si>
    <t>US-40-T1</t>
  </si>
  <si>
    <t>[DevOps] Règles d'alerte et canaux de notification</t>
  </si>
  <si>
    <t>US-40-T2</t>
  </si>
  <si>
    <t>[IA] Monitoring qualité / coût / dérive des modules IA</t>
  </si>
  <si>
    <t>US-40-T3</t>
  </si>
  <si>
    <t>[Back] Endpoints de healthcheck</t>
  </si>
  <si>
    <t>GET /health/live et /health/ready — prévu au sprint S11, fait en avance.</t>
  </si>
  <si>
    <t>US-41</t>
  </si>
  <si>
    <t>Sauvegardes et rétention</t>
  </si>
  <si>
    <t>En tant qu'IT SIVO, je veux des sauvegardes automatiques chiffrées, afin de ne jamais perdre de données.
Critères d'acceptation :
• Sauvegardes automatiques (BDD, fichiers, base vectorielle) selon la fréquence validée.
• Sauvegardes chiffrées et stockées hors site ; rétention conforme à la politique SIVO.</t>
  </si>
  <si>
    <t>US-41-T1</t>
  </si>
  <si>
    <t>[DevOps] Sauvegardes automatiques + rétention</t>
  </si>
  <si>
    <t>US-41-T2</t>
  </si>
  <si>
    <t>[DevOps] Chiffrement et stockage externalisé des sauvegardes</t>
  </si>
  <si>
    <t>US-41-T3</t>
  </si>
  <si>
    <t>[DevOps] Documentation de la politique de sauvegarde</t>
  </si>
  <si>
    <t>US-42</t>
  </si>
  <si>
    <t>Plan de reprise et test de restauration</t>
  </si>
  <si>
    <t>En tant que direction SIVO, je veux un plan de reprise testé, afin de connaître notre temps de rétablissement réel.
Critères d'acceptation :
• RTO / RPO définis et validés par SIVO.
• Restauration complète réalisée en Recette dans le RTO cible, PV signé.</t>
  </si>
  <si>
    <t>US-42-T1</t>
  </si>
  <si>
    <t>[DevOps] Rédaction du PRA (RTO / RPO, procédures)</t>
  </si>
  <si>
    <t>US-42-T2</t>
  </si>
  <si>
    <t>[DevOps] Test de restauration complet en Recette</t>
  </si>
  <si>
    <t>US-42-T3</t>
  </si>
  <si>
    <t>[Back] Test de bascule / redémarrage applicatif</t>
  </si>
  <si>
    <t>E16</t>
  </si>
  <si>
    <t>Documentation technique &amp; transfert (modules IA)</t>
  </si>
  <si>
    <t>Objectif : Permettre à l'équipe IT SIVO d'exploiter et faire évoluer les modules IA.
Réf. : L3 – Qualité &amp; exploitation / Tâche 4</t>
  </si>
  <si>
    <t>Architecture et procédures stabilisées</t>
  </si>
  <si>
    <t>L3 – Qualité &amp; exploitation / Tâche 4</t>
  </si>
  <si>
    <t>US-43</t>
  </si>
  <si>
    <t>Documentation technique des modules IA</t>
  </si>
  <si>
    <t>En tant que développeur SIVO, je veux une documentation des modules IA et de leurs API, afin de les maintenir.
Critères d'acceptation :
• Architecture IA, modèles / versions, prompts, procédure de ré-indexation documentés.
• API documentées (OpenAPI) et à jour.</t>
  </si>
  <si>
    <t>US-43-T1</t>
  </si>
  <si>
    <t>[IA] Documentation architecture IA, modèles, prompts</t>
  </si>
  <si>
    <t>US-43-T2</t>
  </si>
  <si>
    <t>[Back] Documentation OpenAPI des services</t>
  </si>
  <si>
    <t>US-44</t>
  </si>
  <si>
    <t>Transfert de connaissances</t>
  </si>
  <si>
    <t>En tant qu'IT SIVO, je veux une session de transfert et un runbook, afin d'être autonome en exploitation.
Critères d'acceptation :
• Atelier de transfert réalisé, runbook remis, PV de transfert signé.</t>
  </si>
  <si>
    <t>IA, DevOps</t>
  </si>
  <si>
    <t>US-44-T1</t>
  </si>
  <si>
    <t>[IA] Atelier de transfert modules IA</t>
  </si>
  <si>
    <t>US-44-T2</t>
  </si>
  <si>
    <t>[DevOps] Runbook d'exploitation</t>
  </si>
  <si>
    <t>US-01-T4</t>
  </si>
  <si>
    <t>[Front Mobile] Écran d'accueil / profil (/auth/me, rôle, sites) + navigation conditionnelle</t>
  </si>
  <si>
    <t>Réalisé hors backlog.</t>
  </si>
  <si>
    <t>US-01-T5</t>
  </si>
  <si>
    <t>[Back] Endpoint GET /auth/me + contrôle des claims JWT contre la base à chaque requête</t>
  </si>
  <si>
    <t>US-08-T4</t>
  </si>
  <si>
    <t>[Back] Contrat d'erreurs normalisé (codes métier, requestId, mapping des contraintes PostgreSQL)</t>
  </si>
  <si>
    <t>US-52-T4</t>
  </si>
  <si>
    <t>[Back] Onboarding vendeur : mot de passe temporaire, premier login, activation PENDING / ACTIVATED, renvoi d'invitation</t>
  </si>
  <si>
    <t>OPT-205, OPT-206</t>
  </si>
  <si>
    <t>Réalisé hors backlog — va au-delà de « invitation » prévue.</t>
  </si>
  <si>
    <t>US-53-T3</t>
  </si>
  <si>
    <t>[Back] Historique des affectations datées, anti-chevauchement (EXCLUDE), changement de site atomique</t>
  </si>
  <si>
    <t>Vue d'affectation — une section par personne, triée par sprint</t>
  </si>
  <si>
    <t>Tâche</t>
  </si>
  <si>
    <t>J/H</t>
  </si>
  <si>
    <t>Source</t>
  </si>
  <si>
    <t>US-01 – Connexion / déconnexion sécurisée</t>
  </si>
  <si>
    <t>Écran de connexion mobile + gestion du jeton et redirections</t>
  </si>
  <si>
    <t>US-02 – Mot de passe oublié &amp; réinitialisation</t>
  </si>
  <si>
    <t>Écrans mot de passe oublié / nouveau mot de passe</t>
  </si>
  <si>
    <t>US-03 – Matrice des rôles et contrôle d'accès</t>
  </si>
  <si>
    <t>Guards de routes et masquage conditionnel des actions</t>
  </si>
  <si>
    <t>US-59 – Initialisation de l'application mobile</t>
  </si>
  <si>
    <t>Initialisation projet, navigation, design system</t>
  </si>
  <si>
    <t>Client API typé + gestion des erreurs et du mode hors ligne</t>
  </si>
  <si>
    <t>US-51 – Configuration du compte opticien et de ses sites</t>
  </si>
  <si>
    <t>Écrans 'Mon compte' et 'Mes sites'</t>
  </si>
  <si>
    <t>US-52 – Créer et gérer les comptes vendeurs</t>
  </si>
  <si>
    <t>Écrans liste / création / édition des vendeurs</t>
  </si>
  <si>
    <t>US-11 – Pipeline CI/CD avec retour arrière</t>
  </si>
  <si>
    <t>Intégration des builds mobile (iOS / Android) dans le pipeline</t>
  </si>
  <si>
    <t>US-12 – Catalogue et recherche produits</t>
  </si>
  <si>
    <t>Écran catalogue + recherche + filtres</t>
  </si>
  <si>
    <t>US-13 – Commande Stock (panier)</t>
  </si>
  <si>
    <t>Panier et récapitulatif de commande</t>
  </si>
  <si>
    <t>US-53 – Rattacher un vendeur à un ou plusieurs sites</t>
  </si>
  <si>
    <t>Sélection des sites dans la fiche vendeur</t>
  </si>
  <si>
    <t>US-54 – Plages d'accès : jours et heures</t>
  </si>
  <si>
    <t>Écran de configuration des jours et heures</t>
  </si>
  <si>
    <t>US-14 – Commande RX (verres sur prescription)</t>
  </si>
  <si>
    <t>Formulaire RX multi-étapes avec contrôles de saisie</t>
  </si>
  <si>
    <t>US-15 – Validation, transmission et confirmation de commande</t>
  </si>
  <si>
    <t>Écran de confirmation et notifications</t>
  </si>
  <si>
    <t>US-16 – Liste, détail et historique des commandes</t>
  </si>
  <si>
    <t>Écrans liste filtrable + détail commande</t>
  </si>
  <si>
    <t>US-17 – Statuts et cycle de vie des commandes</t>
  </si>
  <si>
    <t>Timeline des statuts dans le détail commande</t>
  </si>
  <si>
    <t>US-45 – Sélection guidée : monture et options</t>
  </si>
  <si>
    <t>Étapes monture + options dans le parcours guidé mobile</t>
  </si>
  <si>
    <t>US-09 – Journalisation d'audit et protections applicatives</t>
  </si>
  <si>
    <t>Sécurité mobile : stockage sécurisé du jeton, certificate pinning</t>
  </si>
  <si>
    <t>US-20 – Saisie du bon précal (champs typés et préremplis)</t>
  </si>
  <si>
    <t>Formulaire précal mobile multi-sections</t>
  </si>
  <si>
    <t>US-21 – Calibre / forme : import traceur ou tracé guidé</t>
  </si>
  <si>
    <t>Tracé guidé sur grille (tactile) + aperçu du contour</t>
  </si>
  <si>
    <t>US-47 – Contrôles de cohérence et envoi horodaté</t>
  </si>
  <si>
    <t>Affichage des erreurs en ligne + écran d'accusé</t>
  </si>
  <si>
    <t>US-24 – Déclarer une réclamation</t>
  </si>
  <si>
    <t>Formulaire de déclaration + pièces jointes</t>
  </si>
  <si>
    <t>US-46 – Notifications push, e-mail et SMS</t>
  </si>
  <si>
    <t>Inscription push + écran de préférences de notification</t>
  </si>
  <si>
    <t>US-48 – Back-office SIVO : étude précal et statuts</t>
  </si>
  <si>
    <t>Back-office web SIVO : file des précals + saisie des résultats</t>
  </si>
  <si>
    <t>US-49 – Historique des précals par porteur</t>
  </si>
  <si>
    <t>Écran historique précal par porteur</t>
  </si>
  <si>
    <t>US-25 – Workflow de traitement côté SIVO</t>
  </si>
  <si>
    <t>Back-office SIVO (web) de traitement des réclamations</t>
  </si>
  <si>
    <t>US-26 – Suivre mes réclamations</t>
  </si>
  <si>
    <t>Écrans liste / détail / échanges</t>
  </si>
  <si>
    <t>US-27 – Recette du module réclamation</t>
  </si>
  <si>
    <t>Tests E2E parcours réclamation</t>
  </si>
  <si>
    <t>US-55 – Permissions vendeur et traçabilité</t>
  </si>
  <si>
    <t>Écran des permissions du vendeur</t>
  </si>
  <si>
    <t>US-61 – Publication sur les stores</t>
  </si>
  <si>
    <t>Ajustements de conformité store (permissions, écrans)</t>
  </si>
  <si>
    <t>US-18 – Gérer mes articles favoris</t>
  </si>
  <si>
    <t>Bouton favori + page 'Mes favoris'</t>
  </si>
  <si>
    <t>Modifier et réordonner les favoris (glisser-déposer)</t>
  </si>
  <si>
    <t>US-19 – Commander depuis mes favoris</t>
  </si>
  <si>
    <t>Ajout au panier depuis la page favoris</t>
  </si>
  <si>
    <t>US-22 – Suivi de livraison</t>
  </si>
  <si>
    <t>Écran de tracking dans le détail commande</t>
  </si>
  <si>
    <t>US-23 – Décharge électronique (signature, code ou photo)</t>
  </si>
  <si>
    <t>Composant de signature tactile</t>
  </si>
  <si>
    <t>Saisie du code / prise de photo de réception</t>
  </si>
  <si>
    <t>US-56 – Portefeuille clients du représentant</t>
  </si>
  <si>
    <t>Écran portefeuille clients</t>
  </si>
  <si>
    <t>US-57 – Activité et réclamations par client</t>
  </si>
  <si>
    <t>Fiche client : activité + réclamations</t>
  </si>
  <si>
    <t>US-58 – Commander pour le compte d'un client</t>
  </si>
  <si>
    <t>Sélection du client avant le parcours de commande</t>
  </si>
  <si>
    <t>US-30 – Recommandation dans le parcours de commande</t>
  </si>
  <si>
    <t>Affichage des recommandations + justification</t>
  </si>
  <si>
    <t>US-W00 – Socle front web (réutilise le client API mobile)</t>
  </si>
  <si>
    <t>Initialisation projet web, layout responsive, design system partagé</t>
  </si>
  <si>
    <t>Intégration du build web au pipeline</t>
  </si>
  <si>
    <t>US-W01 – Version web — Authentification</t>
  </si>
  <si>
    <t>Écrans connexion / mot de passe oublié (web)</t>
  </si>
  <si>
    <t>US-W02 – Version web — Gestion des accès et des rôles</t>
  </si>
  <si>
    <t>Guards de routes et masquage des actions (web)</t>
  </si>
  <si>
    <t>US-W03 – Version web — Module vendeurs &amp; gestion des accès</t>
  </si>
  <si>
    <t>Compte, sites, vendeurs, plages d'accès (web)</t>
  </si>
  <si>
    <t>US-33 – Rédaction de réponse formelle</t>
  </si>
  <si>
    <t>Actions éditer / copier / envoyer le brouillon</t>
  </si>
  <si>
    <t>US-34 – Création d'une demande depuis la conversation</t>
  </si>
  <si>
    <t>Écran de confirmation du formulaire pré-rempli</t>
  </si>
  <si>
    <t>US-35 – Widget de chat et historique</t>
  </si>
  <si>
    <t>Écran de chat mobile (streaming, feedback)</t>
  </si>
  <si>
    <t>US-50 – FAQ produit, aide à la saisie précal et escalade conseiller</t>
  </si>
  <si>
    <t>Bouton 'Parler à un conseiller' + aide contextuelle précal</t>
  </si>
  <si>
    <t>US-W04 – Version web — Passation de commandes standard (Stock, RX)</t>
  </si>
  <si>
    <t>Catalogue, panier, parcours guidé Stock / RX (web)</t>
  </si>
  <si>
    <t>US-W05 – Version web — Bon de commande Précal digital</t>
  </si>
  <si>
    <t>Formulaire précal + tracé guidé + historique (web)</t>
  </si>
  <si>
    <t>US-W06 – Version web — Suivi des commandes</t>
  </si>
  <si>
    <t>Liste / détail / timeline + préférences notifications (web)</t>
  </si>
  <si>
    <t>US-W07 – Version web — Réclamation (dont cas d'inadaptation)</t>
  </si>
  <si>
    <t>Déclaration et suivi des réclamations (web)</t>
  </si>
  <si>
    <t>US-W08 – Version web — Articles favoris</t>
  </si>
  <si>
    <t>Favoris (web)</t>
  </si>
  <si>
    <t>US-W09 – Version web — Tracking &amp; décharge électronique – Phase 1</t>
  </si>
  <si>
    <t>Tracking et décharge (web)</t>
  </si>
  <si>
    <t>US-W10 – Version web — Espace commercial</t>
  </si>
  <si>
    <t>Espace commercial (web)</t>
  </si>
  <si>
    <t>US-W11 – Version web — Système de recommandation</t>
  </si>
  <si>
    <t>Bloc de recommandation (web)</t>
  </si>
  <si>
    <t>US-W12 – Version web — Chatbot IA (suivi, réponse formelle, création depuis formulaire)</t>
  </si>
  <si>
    <t>Widget de chat (web)</t>
  </si>
  <si>
    <t>Sous-total Youssef Feki</t>
  </si>
  <si>
    <t>API login / logout / refresh token (JWT) + expiration de session</t>
  </si>
  <si>
    <t>Tables users / sessions / refresh_tokens</t>
  </si>
  <si>
    <t>Flux reset : génération jeton, envoi e-mail, validation</t>
  </si>
  <si>
    <t>Tests automatisés du module d'authentification</t>
  </si>
  <si>
    <t>Modèle RBAC : roles, permissions, user_roles</t>
  </si>
  <si>
    <t>Middleware d'autorisation + cloisonnement par opticien</t>
  </si>
  <si>
    <t>Rôles Vendeur et Commercial dans la matrice RBAC</t>
  </si>
  <si>
    <t>US-04 – Modèle de données partagé</t>
  </si>
  <si>
    <t>Conception MCD / MLD et conventions de nommage</t>
  </si>
  <si>
    <t>Dictionnaire de données + matrice de responsabilités</t>
  </si>
  <si>
    <t>Mapping ORM des entités et repositories</t>
  </si>
  <si>
    <t>US-05 – Connexion sécurisée au SI SIVO (Oracle)</t>
  </si>
  <si>
    <t>Connecteur SIVO + pool de connexions + gestion des erreurs</t>
  </si>
  <si>
    <t>Synchronisation catalogue / référentiels depuis Oracle SIVO</t>
  </si>
  <si>
    <t>US-06 – Migrations et jeux de données</t>
  </si>
  <si>
    <t>Scripts de migration versionnés (up / down)</t>
  </si>
  <si>
    <t>Jeu de données de recette anonymisé</t>
  </si>
  <si>
    <t>US-08 – Sécuriser les échanges, secrets et données sensibles</t>
  </si>
  <si>
    <t>Chiffrement des données sensibles au repos</t>
  </si>
  <si>
    <t>Validation des entrées, CORS, en-têtes de sécurité</t>
  </si>
  <si>
    <t>Modèle compte opticien / sites + API de configuration</t>
  </si>
  <si>
    <t>Modèle vendeur rattaché à l'opticien + API CRUD + invitation</t>
  </si>
  <si>
    <t>Révocation des sessions à la désactivation</t>
  </si>
  <si>
    <t>Intégration des tests back dans le pipeline</t>
  </si>
  <si>
    <t>Index et vues de recherche catalogue</t>
  </si>
  <si>
    <t>API catalogue : recherche, filtres, pagination</t>
  </si>
  <si>
    <t>Tables commandes / lignes de commande</t>
  </si>
  <si>
    <t>API panier + règles de validation commande Stock</t>
  </si>
  <si>
    <t>Table vendeur ↔ sites + filtrage des données par site dans l'API</t>
  </si>
  <si>
    <t>Modèle des plages + contrôle au login et à chaque requête (middleware)</t>
  </si>
  <si>
    <t>Expiration des sessions en fin de plage + gestion des fuseaux</t>
  </si>
  <si>
    <t>US-07 – Tests d'intégration SIVO</t>
  </si>
  <si>
    <t>Tests d'intégration des flux SIVO</t>
  </si>
  <si>
    <t>Validation volumétrie et temps de réponse des requêtes</t>
  </si>
  <si>
    <t>Modèle prescription / porteur / montage</t>
  </si>
  <si>
    <t>Règles de validation et compatibilité verre ↔ prescription</t>
  </si>
  <si>
    <t>Transmission commande vers SI SIVO + accusé + rejeu</t>
  </si>
  <si>
    <t>Tests E2E du parcours de commande Stock &amp; RX</t>
  </si>
  <si>
    <t>API liste / détail / historique des commandes</t>
  </si>
  <si>
    <t>Référentiel statuts + transitions autorisées</t>
  </si>
  <si>
    <t>Machine à états + synchronisation des statuts SIVO</t>
  </si>
  <si>
    <t>Règles de compatibilité monture ↔ verre et options (traitements, teintes)</t>
  </si>
  <si>
    <t>Audit log des actions sensibles</t>
  </si>
  <si>
    <t>Table d'audit + politique de rétention</t>
  </si>
  <si>
    <t>Rate limiting et anti brute-force</t>
  </si>
  <si>
    <t>Modèle de données bon précal + API (création, brouillon)</t>
  </si>
  <si>
    <t>Règles : champs obligatoires selon le verre, préremplissage</t>
  </si>
  <si>
    <t>Parsing fichier traceur + contrôle cotes A/B</t>
  </si>
  <si>
    <t>Contrôles de plages + envoi + accusé horodaté</t>
  </si>
  <si>
    <t>Modèle réclamation, motifs, pièces jointes</t>
  </si>
  <si>
    <t>API création réclamation + upload sécurisé</t>
  </si>
  <si>
    <t>US-28 – Données et critères de recommandation</t>
  </si>
  <si>
    <t>Extraction des historiques de commandes anonymisés</t>
  </si>
  <si>
    <t>Service de notifications (FCM / APNs, e-mail, fournisseur SMS) + file de rejeu</t>
  </si>
  <si>
    <t>Workflow statuts précal + transmission production Oracle</t>
  </si>
  <si>
    <t>API historique + duplication</t>
  </si>
  <si>
    <t>Workflow : statuts, affectation, délais</t>
  </si>
  <si>
    <t>Historisation des actions sur réclamation</t>
  </si>
  <si>
    <t>Notifications e-mail aux changements de statut</t>
  </si>
  <si>
    <t>API suivi et échanges réclamation</t>
  </si>
  <si>
    <t>Tests d'intégration réclamation</t>
  </si>
  <si>
    <t>US-31 – Base de connaissances SIVO (RAG)</t>
  </si>
  <si>
    <t>Base vectorielle + mise à jour incrémentale</t>
  </si>
  <si>
    <t>Connecteurs vers les sources documentaires SIVO</t>
  </si>
  <si>
    <t>Permissions vendeur + auteur sur commandes / réclamations</t>
  </si>
  <si>
    <t>Tests automatisés du module vendeurs</t>
  </si>
  <si>
    <t>Table favoris (opticien, produit)</t>
  </si>
  <si>
    <t>API ajout / suppression / liste des favoris</t>
  </si>
  <si>
    <t>API de réordonnancement / modification d'un favori</t>
  </si>
  <si>
    <t>Tests du parcours favoris → commande</t>
  </si>
  <si>
    <t>Modèle livraison / BL</t>
  </si>
  <si>
    <t>Intégration des données de livraison SIVO</t>
  </si>
  <si>
    <t>Horodatage serveur + génération PDF de preuve</t>
  </si>
  <si>
    <t>Stockage des preuves + empreinte d'intégrité</t>
  </si>
  <si>
    <t>Tests du flux de décharge</t>
  </si>
  <si>
    <t>Preuve par code de réception ou photo</t>
  </si>
  <si>
    <t>Modèle portefeuille représentant ↔ clients + API</t>
  </si>
  <si>
    <t>API d'agrégats d'activité par client</t>
  </si>
  <si>
    <t>Commande 'pour le compte de' + journal d'audit</t>
  </si>
  <si>
    <t>US-29 – Moteur de recommandation</t>
  </si>
  <si>
    <t>API de recommandation versionnée</t>
  </si>
  <si>
    <t>Filtres de compatibilité + tracking du feedback</t>
  </si>
  <si>
    <t>US-32 – Suivi de commande conversationnel</t>
  </si>
  <si>
    <t>API outils sécurisées, scopées à l'opticien</t>
  </si>
  <si>
    <t>Circuit de validation humaine avant envoi</t>
  </si>
  <si>
    <t>Création de brouillon via les API existantes</t>
  </si>
  <si>
    <t>Endpoint chat + gestion de l'historique</t>
  </si>
  <si>
    <t>Stockage des conversations et feedbacks</t>
  </si>
  <si>
    <t>API d'escalade vers conseiller (ticket / file support)</t>
  </si>
  <si>
    <t>US-37 – Tests de charge et performance IA</t>
  </si>
  <si>
    <t>Exécution des tests de charge API &amp; chat</t>
  </si>
  <si>
    <t>US-38 – Tests d'injection de prompt et de fuite de données</t>
  </si>
  <si>
    <t>Correctifs : filtres entrée / sortie, cloisonnement</t>
  </si>
  <si>
    <t>US-39 – Logs centralisés et métriques</t>
  </si>
  <si>
    <t>Instrumentation applicative (logs structurés, traces)</t>
  </si>
  <si>
    <t>US-40 – Alertes et monitoring IA</t>
  </si>
  <si>
    <t>Endpoints de healthcheck</t>
  </si>
  <si>
    <t>US-42 – Plan de reprise et test de restauration</t>
  </si>
  <si>
    <t>Test de bascule / redémarrage applicatif</t>
  </si>
  <si>
    <t>US-43 – Documentation technique des modules IA</t>
  </si>
  <si>
    <t>Documentation OpenAPI des services</t>
  </si>
  <si>
    <t>Sous-total Ahmed Jmal</t>
  </si>
  <si>
    <t>Analyse des données + feature engineering</t>
  </si>
  <si>
    <t>Pipeline d'ingestion : extraction, chunking, embeddings</t>
  </si>
  <si>
    <t>Retrieval + génération avec citations</t>
  </si>
  <si>
    <t>Modèle hybride règles métier + ML (ranking)</t>
  </si>
  <si>
    <t>Évaluation offline (Recall@k, nDCG) + rapport</t>
  </si>
  <si>
    <t>Ajustement du modèle à partir des retours de recette</t>
  </si>
  <si>
    <t>Orchestration agent + appels d'outils (statut, détail commande)</t>
  </si>
  <si>
    <t>Prompt système et garde-fous de réponse</t>
  </si>
  <si>
    <t>Génération de réponses formelles par gabarits</t>
  </si>
  <si>
    <t>Détection d'intention + extraction de champs (structured output)</t>
  </si>
  <si>
    <t>Intentions FAQ / aide précal + règles d'escalade</t>
  </si>
  <si>
    <t>US-36 – Jeu d'évaluation et évaluation des modules IA</t>
  </si>
  <si>
    <t>Constitution du golden dataset avec SIVO</t>
  </si>
  <si>
    <t>Évaluation automatisée (fidélité, hallucination, pertinence)</t>
  </si>
  <si>
    <t>Rapport d'évaluation + recommandations</t>
  </si>
  <si>
    <t>Optimisations (cache, batching, taille de contexte)</t>
  </si>
  <si>
    <t>Red teaming : injection de prompt et jailbreak</t>
  </si>
  <si>
    <t>Tests de fuite de données inter-opticiens</t>
  </si>
  <si>
    <t>Rapport de sécurité IA</t>
  </si>
  <si>
    <t>Monitoring qualité / coût / dérive des modules IA</t>
  </si>
  <si>
    <t>Documentation architecture IA, modèles, prompts</t>
  </si>
  <si>
    <t>US-44 – Transfert de connaissances</t>
  </si>
  <si>
    <t>Atelier de transfert modules IA</t>
  </si>
  <si>
    <t>Sous-total Yessine Affes</t>
  </si>
  <si>
    <t>US-10 – Environnements Dev / Recette / Production</t>
  </si>
  <si>
    <t>Provisionnement infrastructure des 3 environnements</t>
  </si>
  <si>
    <t>Conteneurisation (Docker) front / back / IA</t>
  </si>
  <si>
    <t>Configuration par environnement et gestion des variables</t>
  </si>
  <si>
    <t>Comptes de service, droits, ouverture réseau avec IT SIVO</t>
  </si>
  <si>
    <t>TLS + coffre à secrets (Vault / équivalent) par environnement</t>
  </si>
  <si>
    <t>US-60 – Build et distribution mobile</t>
  </si>
  <si>
    <t>Pipeline de build mobile + signature des applications</t>
  </si>
  <si>
    <t>Distribution TestFlight / Google Play (test interne)</t>
  </si>
  <si>
    <t>Pipeline build + tests + analyse qualité</t>
  </si>
  <si>
    <t>Déploiement automatisé + procédure de rollback</t>
  </si>
  <si>
    <t>Configuration certificats push et fournisseur SMS par environnement</t>
  </si>
  <si>
    <t>Comptes développeur, fiches store, soumission</t>
  </si>
  <si>
    <t>Hébergement et déploiement du front web</t>
  </si>
  <si>
    <t>Scénarios de charge (k6 / JMeter) + environnement</t>
  </si>
  <si>
    <t>Stack de logs centralisés (ELK / Loki)</t>
  </si>
  <si>
    <t>Métriques et dashboards (Prometheus / Grafana)</t>
  </si>
  <si>
    <t>Règles d'alerte et canaux de notification</t>
  </si>
  <si>
    <t>US-41 – Sauvegardes et rétention</t>
  </si>
  <si>
    <t>Sauvegardes automatiques + rétention</t>
  </si>
  <si>
    <t>Chiffrement et stockage externalisé des sauvegardes</t>
  </si>
  <si>
    <t>Documentation de la politique de sauvegarde</t>
  </si>
  <si>
    <t>Rédaction du PRA (RTO / RPO, procédures)</t>
  </si>
  <si>
    <t>Test de restauration complet en Recette</t>
  </si>
  <si>
    <t>Runbook d'exploitation</t>
  </si>
  <si>
    <t>Sous-total Heni Kenoun</t>
  </si>
  <si>
    <t>Questions ouvertes à trancher avec SIVO</t>
  </si>
  <si>
    <t>Question</t>
  </si>
  <si>
    <t>Épic(s)</t>
  </si>
  <si>
    <t>Bloque le sprint</t>
  </si>
  <si>
    <t>Propriétaire</t>
  </si>
  <si>
    <t>Avenant : valider les J/H « à valider » (vendeurs, Précal digital, espace commercial, mobile, web, notifications)</t>
  </si>
  <si>
    <t>Direction / commercial</t>
  </si>
  <si>
    <t>Échéance février 2027 incompatible avec 1 seul Back : renfort, phasage ou réduction de périmètre ?</t>
  </si>
  <si>
    <t>Direction</t>
  </si>
  <si>
    <t>Techno mobile : React Native ou Flutter ? Version minimale iOS / Android ?</t>
  </si>
  <si>
    <t>Équipe tech</t>
  </si>
  <si>
    <t>Tranché par l'équipe : React Native 0.87 + TypeScript (rapport Front).</t>
  </si>
  <si>
    <t>Mode d'authentification : comptes locaux, annuaire SIVO ou SSO ?</t>
  </si>
  <si>
    <t>IT SIVO</t>
  </si>
  <si>
    <t>De fait : comptes locaux e-mail / mot de passe + JWT (OPT-102). SSO à confirmer avec SIVO.</t>
  </si>
  <si>
    <t>Accès Oracle SIVO : mode d'intégration (API, vues, base partagée), propriétaires des tables</t>
  </si>
  <si>
    <t>Hébergement (cloud / on-premise SIVO) et règles de mise en production</t>
  </si>
  <si>
    <t>Vendeurs : permissions disponibles (commander, voir prix, réclamer…) ; plages horaires par vendeur ou par site ?</t>
  </si>
  <si>
    <t>SIVO métier</t>
  </si>
  <si>
    <t>Partiel : plages par affectation vendeur ↔ site (OPT-203). Permissions encore à définir.</t>
  </si>
  <si>
    <t>Vendeurs : l'opticien peut-il avoir plusieurs sites dans des fuseaux différents ?</t>
  </si>
  <si>
    <t>Oui : fuseau IANA par site (OPT-203).</t>
  </si>
  <si>
    <t>Format des fichiers traceur à importer pour le calibre précal (OMA / VCA ?)</t>
  </si>
  <si>
    <t>SIVO technique</t>
  </si>
  <si>
    <t>Plages autorisées et champs obligatoires par type de verre (précal et RX)</t>
  </si>
  <si>
    <t>E06, E09</t>
  </si>
  <si>
    <t>SIVO produit</t>
  </si>
  <si>
    <t>Statuts clés déclenchant push / e-mail / SMS ; fournisseur SMS</t>
  </si>
  <si>
    <t>Workflow réclamation : délais (SLA), règles de décision reprise / échange / avoir</t>
  </si>
  <si>
    <t>Espace commercial : source de l'affectation représentant ↔ clients</t>
  </si>
  <si>
    <t>SIVO commercial</t>
  </si>
  <si>
    <t>Critères de recommandation et seuil Recall@3 accepté</t>
  </si>
  <si>
    <t>Sources documentaires autorisées pour le chatbot ; canal d'escalade conseiller</t>
  </si>
  <si>
    <t>SIVO</t>
  </si>
  <si>
    <t>Volumétrie cible, RTO / RPO et outils de supervision imposés</t>
  </si>
  <si>
    <t>E14, E15</t>
  </si>
  <si>
    <t>Definition of Ready (story)</t>
  </si>
  <si>
    <t>☐ User story « En tant que… je veux… afin de… »</t>
  </si>
  <si>
    <t>☐ Critères d'acceptation testables</t>
  </si>
  <si>
    <t>☐ Questions bloquantes levées (tableau ci-dessus)</t>
  </si>
  <si>
    <t>☐ Maquette mobile disponible (et web pour les stories web)</t>
  </si>
  <si>
    <t>☐ Accès données / API Oracle disponibles</t>
  </si>
  <si>
    <t>☐ Sous-tâches Front Mobile / Front Web / Back / IA / DevOps estimées ≤ 3 J/H</t>
  </si>
  <si>
    <t>☐ Code revu et mergé ; tests unitaires + intégration verts dans la CI</t>
  </si>
  <si>
    <t>☐ Critères d'acceptation vérifiés par le PO sur appareil réel (iOS ET Android)</t>
  </si>
  <si>
    <t>☐ Migrations BDD versionnées et rejouables</t>
  </si>
  <si>
    <t>☐ Aucune faille critique (scan sécurité / secrets)</t>
  </si>
  <si>
    <t>☐ Documentation API mise à jour</t>
  </si>
  <si>
    <t>☐ IA : métriques mesurées vs seuils, fallback testé, version du modèle tracée</t>
  </si>
  <si>
    <t>☐ Déployé en Recette via le pipeline (build mobile distribué)</t>
  </si>
  <si>
    <t>Ce qui a changé par rapport à la v1</t>
  </si>
  <si>
    <t>• Nouvel épic E18 — Module vendeurs &amp; gestion des accès (Lot 1) : compte opticien et sites, vendeurs, rattachement aux sites, plages jours/heures, permissions.</t>
  </si>
  <si>
    <t>• Nouvel épic E19 — Espace commercial (Lot 2, CDC §3.9).</t>
  </si>
  <si>
    <t>• Nouvel épic E20 — Socle application mobile iOS/Android + publication stores ; stories « Version web » ajoutées à chaque épic.</t>
  </si>
  <si>
    <t>• E09 Précal : devient le bon précal digital complet (CDC §3.2) et passe en Lot 1 ; la détection IA des bons papier est retirée.</t>
  </si>
  <si>
    <t>• E13 Réclamations : passe du Lot 2 au Lot 1 (CDC v2) ; motifs et workflow alignés (diagnostic → reprise / échange / avoir → clôture).</t>
  </si>
  <si>
    <t>• E06 : sélection guidée monture + options ; E07 : notifications push / e-mail / SMS ; E08 : modification / réordonnancement ; E12 : code ou photo de réception ; E11 : FAQ, aide précal, escalade.</t>
  </si>
  <si>
    <t>• Rôles : la BDD est confiée au Back ; le rôle restant devient DevOps seul ; Front scindé en Front Mobile (d'abord) et Front Web (ensuite).</t>
  </si>
  <si>
    <t>• Colonne « Source charge » : Devis (couvert par le devis signé) ou À valider (avenant).</t>
  </si>
  <si>
    <t>• 12 sprints (au lieu de 10), contrôle automatique de l'échéance février 2027.</t>
  </si>
  <si>
    <t>Importer le backlog dans Jira (Jira_Import_SIVO_v3.csv)</t>
  </si>
  <si>
    <t>1. Projet Scrum (company-managed). Créer les versions « Lot 1 », « Lot 2 », « Lot 3 » et les composants Front Mobile, Front Web, Back, IA, DevOps.</t>
  </si>
  <si>
    <t>2. Créer les sprints S01…S12 dans le board avant l'import (sinon ignorer la colonne Sprint et filtrer par label S01…S12).</t>
  </si>
  <si>
    <t>3. Paramètres système &gt; Importation externe &gt; CSV, encodage UTF-8, séparateur virgule.</t>
  </si>
  <si>
    <t>4. Mapping : Issue Id → Issue ID ; Assignee → Responsable (les utilisateurs doivent exister dans Jira — à l'étape « mapping des valeurs », associer chaque nom à son compte) ; Parent Id → Parent ; Issue Type ; Summary ; Description ; Priority ; Labels (4 colonnes) → Étiquettes ; Component → Composants ;</t>
  </si>
  <si>
    <t xml:space="preserve">   Fix Version → Versions corrigées ; Sprint ; Story Points → Story point estimate ; Original Estimate (secondes, 1 J/H = 28 800 s) ; Epic Name.</t>
  </si>
  <si>
    <t>5. Types requis : Epic, Story, Sub-task (en français : mapper Sub-task → Sous-tâche).</t>
  </si>
  <si>
    <t>6. Affectation déjà incluse (colonne Assignee). Story = assignée au développeur qui porte la plus grande part ; sous-tâches = développeur du rôle. Label « a-valider » = charge hors devis.</t>
  </si>
  <si>
    <t>⚠ Si la v1 a déjà été importée : supprimer ou archiver les tickets v1 avant (les clés US-20, US-21 ont changé de contenu).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</si>
</sst>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dd/mm/yyyy"/>
    <numFmt numFmtId="166" formatCode="0;\-0;0"/>
    <numFmt numFmtId="167" formatCode="0;\-0;\-"/>
  </numFmts>
  <fonts count="19">
    <font>
      <sz val="11"/>
      <color theme="1"/>
      <name val="Calibri"/>
      <family val="2"/>
      <charset val="1"/>
    </font>
    <font>
      <b/>
      <sz val="14"/>
      <color rgb="FF1F3864"/>
      <name val="Arial"/>
      <charset val="1"/>
    </font>
    <font>
      <i/>
      <sz val="9"/>
      <name val="Arial"/>
      <charset val="1"/>
    </font>
    <font>
      <b/>
      <sz val="12"/>
      <color rgb="FF1F3864"/>
      <name val="Arial"/>
      <charset val="1"/>
    </font>
    <font>
      <b/>
      <sz val="10"/>
      <color rgb="FFFFFFFF"/>
      <name val="Arial"/>
      <charset val="1"/>
    </font>
    <font>
      <b/>
      <sz val="10"/>
      <color rgb="FF000000"/>
      <name val="Arial"/>
      <charset val="1"/>
    </font>
    <font>
      <sz val="10"/>
      <color rgb="FF000000"/>
      <name val="Arial"/>
      <charset val="1"/>
    </font>
    <font>
      <sz val="10"/>
      <name val="Arial"/>
      <charset val="1"/>
    </font>
    <font>
      <b/>
      <sz val="13"/>
      <color rgb="FF1F3864"/>
      <name val="Arial"/>
      <charset val="1"/>
    </font>
    <font>
      <b/>
      <sz val="16"/>
      <color rgb="FF1F3864"/>
      <name val="Arial"/>
      <charset val="1"/>
    </font>
    <font>
      <b/>
      <sz val="11"/>
      <color rgb="FFFFFFFF"/>
      <name val="Arial"/>
      <charset val="1"/>
    </font>
    <font>
      <sz val="10"/>
      <color rgb="FF0000FF"/>
      <name val="Arial"/>
      <charset val="1"/>
    </font>
    <font>
      <b/>
      <sz val="10"/>
      <color rgb="FFC00000"/>
      <name val="Arial"/>
      <charset val="1"/>
    </font>
    <font>
      <b/>
      <sz val="11"/>
      <color rgb="FF0000FF"/>
      <name val="Arial"/>
      <charset val="1"/>
    </font>
    <font>
      <sz val="10"/>
      <color rgb="FF666666"/>
      <name val="Arial"/>
      <charset val="1"/>
    </font>
    <font>
      <b/>
      <sz val="10"/>
      <name val="Arial"/>
      <charset val="1"/>
    </font>
    <font>
      <sz val="10"/>
      <name val="Arial"/>
      <family val="2"/>
    </font>
    <font>
      <b/>
      <sz val="11"/>
      <name val="Arial"/>
      <charset val="1"/>
    </font>
    <font>
      <b/>
      <sz val="10"/>
      <color rgb="FF1F3864"/>
      <name val="Arial"/>
      <charset val="1"/>
    </font>
  </fonts>
  <fills count="18">
    <fill>
      <patternFill patternType="none"/>
    </fill>
    <fill>
      <patternFill patternType="gray125"/>
    </fill>
    <fill>
      <patternFill patternType="solid">
        <fgColor rgb="FF1F3864"/>
        <bgColor rgb="FF333333"/>
      </patternFill>
    </fill>
    <fill>
      <patternFill patternType="solid">
        <fgColor rgb="FFC6EFCE"/>
        <bgColor rgb="FFE2EFDA"/>
      </patternFill>
    </fill>
    <fill>
      <patternFill patternType="solid">
        <fgColor rgb="FFDDEBF7"/>
        <bgColor rgb="FFDEEAF6"/>
      </patternFill>
    </fill>
    <fill>
      <patternFill patternType="solid">
        <fgColor rgb="FFFFC7CE"/>
        <bgColor rgb="FFFCE4D6"/>
      </patternFill>
    </fill>
    <fill>
      <patternFill patternType="solid">
        <fgColor rgb="FFFFFF00"/>
        <bgColor rgb="FFFFEB9C"/>
      </patternFill>
    </fill>
    <fill>
      <patternFill patternType="solid">
        <fgColor rgb="FFE2EFDA"/>
        <bgColor rgb="FFEDEDED"/>
      </patternFill>
    </fill>
    <fill>
      <patternFill patternType="solid">
        <fgColor rgb="FFFCE4D6"/>
        <bgColor rgb="FFFFF2CC"/>
      </patternFill>
    </fill>
    <fill>
      <patternFill patternType="solid">
        <fgColor rgb="FFEDEDED"/>
        <bgColor rgb="FFF2F2F2"/>
      </patternFill>
    </fill>
    <fill>
      <patternFill patternType="solid">
        <fgColor rgb="FFD9D9D9"/>
        <bgColor rgb="FFEADCF4"/>
      </patternFill>
    </fill>
    <fill>
      <patternFill patternType="solid">
        <fgColor rgb="FFDEEAF6"/>
        <bgColor rgb="FFDDEBF7"/>
      </patternFill>
    </fill>
    <fill>
      <patternFill patternType="solid">
        <fgColor rgb="FFEADCF4"/>
        <bgColor rgb="FFDEEAF6"/>
      </patternFill>
    </fill>
    <fill>
      <patternFill patternType="solid">
        <fgColor rgb="FFFFF2CC"/>
        <bgColor rgb="FFFCE4D6"/>
      </patternFill>
    </fill>
    <fill>
      <patternFill patternType="solid">
        <fgColor rgb="FFF2F2F2"/>
        <bgColor rgb="FFEDEDED"/>
      </patternFill>
    </fill>
    <fill>
      <patternFill patternType="solid">
        <fgColor rgb="FFFFE699"/>
        <bgColor rgb="FFFFEB9C"/>
      </patternFill>
    </fill>
    <fill>
      <patternFill patternType="solid">
        <fgColor rgb="FFFFEB9C"/>
        <bgColor rgb="FFFFE699"/>
      </patternFill>
    </fill>
    <fill>
      <patternFill patternType="solid">
        <fgColor rgb="FFC9E2F5"/>
        <bgColor rgb="FFDDEBF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78">
    <xf numFmtId="0" fontId="0" fillId="0" borderId="0" xfId="0"/>
    <xf numFmtId="0" fontId="5" fillId="0" borderId="1" xfId="0" applyFont="1" applyBorder="1" applyAlignment="1">
      <alignment horizontal="left" vertical="top" wrapText="1"/>
    </xf>
    <xf numFmtId="0" fontId="12" fillId="0" borderId="1" xfId="0" applyFont="1" applyBorder="1" applyAlignment="1">
      <alignment horizontal="left" vertical="top" wrapText="1"/>
    </xf>
    <xf numFmtId="0" fontId="6" fillId="0" borderId="1" xfId="0" applyFont="1" applyBorder="1" applyAlignment="1">
      <alignment horizontal="left" vertical="top" wrapText="1"/>
    </xf>
    <xf numFmtId="0" fontId="7" fillId="0" borderId="0" xfId="0" applyFont="1" applyAlignment="1">
      <alignment vertical="top" wrapText="1"/>
    </xf>
    <xf numFmtId="0" fontId="1" fillId="0" borderId="0" xfId="0" applyFont="1"/>
    <xf numFmtId="0" fontId="2" fillId="0" borderId="0" xfId="0" applyFont="1"/>
    <xf numFmtId="0" fontId="3" fillId="0" borderId="0" xfId="0" applyFont="1"/>
    <xf numFmtId="0" fontId="4" fillId="2" borderId="1" xfId="0" applyFont="1" applyFill="1" applyBorder="1" applyAlignment="1">
      <alignment horizontal="center" vertical="top" wrapText="1"/>
    </xf>
    <xf numFmtId="0" fontId="5" fillId="0" borderId="1" xfId="0" applyFont="1" applyBorder="1" applyAlignment="1">
      <alignment horizontal="left" vertical="top" wrapText="1"/>
    </xf>
    <xf numFmtId="164" fontId="6" fillId="0" borderId="1" xfId="0" applyNumberFormat="1" applyFont="1" applyBorder="1" applyAlignment="1">
      <alignment horizontal="center" vertical="top" wrapText="1"/>
    </xf>
    <xf numFmtId="1" fontId="6" fillId="0" borderId="1" xfId="0" applyNumberFormat="1" applyFont="1" applyBorder="1" applyAlignment="1">
      <alignment horizontal="center" vertical="top" wrapText="1"/>
    </xf>
    <xf numFmtId="9" fontId="6" fillId="0" borderId="1" xfId="0" applyNumberFormat="1" applyFont="1" applyBorder="1" applyAlignment="1">
      <alignment horizontal="center" vertical="top" wrapText="1"/>
    </xf>
    <xf numFmtId="0" fontId="8" fillId="0" borderId="0" xfId="0" applyFont="1"/>
    <xf numFmtId="0" fontId="6" fillId="0" borderId="1" xfId="0" applyFont="1" applyBorder="1" applyAlignment="1">
      <alignment horizontal="left" vertical="top" wrapText="1"/>
    </xf>
    <xf numFmtId="0" fontId="6" fillId="0" borderId="1" xfId="0" applyFont="1" applyBorder="1" applyAlignment="1">
      <alignment horizontal="center" vertical="top" wrapText="1"/>
    </xf>
    <xf numFmtId="0" fontId="6" fillId="3" borderId="1" xfId="0" applyFont="1" applyFill="1" applyBorder="1" applyAlignment="1">
      <alignment horizontal="left" vertical="top" wrapText="1"/>
    </xf>
    <xf numFmtId="0" fontId="6" fillId="4" borderId="1" xfId="0" applyFont="1" applyFill="1" applyBorder="1" applyAlignment="1">
      <alignment horizontal="left" vertical="top" wrapText="1"/>
    </xf>
    <xf numFmtId="0" fontId="6" fillId="5" borderId="1" xfId="0" applyFont="1" applyFill="1" applyBorder="1" applyAlignment="1">
      <alignment horizontal="left" vertical="top" wrapText="1"/>
    </xf>
    <xf numFmtId="0" fontId="6" fillId="6" borderId="1" xfId="0" applyFont="1" applyFill="1" applyBorder="1" applyAlignment="1">
      <alignment horizontal="left" vertical="top" wrapText="1"/>
    </xf>
    <xf numFmtId="0" fontId="9" fillId="0" borderId="0" xfId="0" applyFont="1"/>
    <xf numFmtId="0" fontId="5" fillId="4" borderId="1" xfId="0" applyFont="1" applyFill="1" applyBorder="1" applyAlignment="1">
      <alignment horizontal="left" vertical="top" wrapText="1"/>
    </xf>
    <xf numFmtId="0" fontId="5" fillId="7" borderId="1" xfId="0" applyFont="1" applyFill="1" applyBorder="1" applyAlignment="1">
      <alignment horizontal="left" vertical="top" wrapText="1"/>
    </xf>
    <xf numFmtId="0" fontId="5" fillId="8" borderId="1" xfId="0" applyFont="1" applyFill="1" applyBorder="1" applyAlignment="1">
      <alignment horizontal="left" vertical="top" wrapText="1"/>
    </xf>
    <xf numFmtId="0" fontId="5" fillId="9" borderId="1" xfId="0" applyFont="1" applyFill="1" applyBorder="1" applyAlignment="1">
      <alignment horizontal="left" vertical="top" wrapText="1"/>
    </xf>
    <xf numFmtId="0" fontId="10" fillId="2" borderId="1" xfId="0" applyFont="1" applyFill="1" applyBorder="1" applyAlignment="1">
      <alignment horizontal="center" vertical="center" wrapText="1"/>
    </xf>
    <xf numFmtId="164" fontId="5" fillId="10" borderId="1" xfId="0" applyNumberFormat="1" applyFont="1" applyFill="1" applyBorder="1" applyAlignment="1">
      <alignment horizontal="center" vertical="top" wrapText="1"/>
    </xf>
    <xf numFmtId="9" fontId="5" fillId="10" borderId="1" xfId="0" applyNumberFormat="1" applyFont="1" applyFill="1" applyBorder="1" applyAlignment="1">
      <alignment horizontal="center" vertical="top" wrapText="1"/>
    </xf>
    <xf numFmtId="0" fontId="11" fillId="0" borderId="1" xfId="0" applyFont="1" applyBorder="1" applyAlignment="1">
      <alignment horizontal="center" vertical="top" wrapText="1"/>
    </xf>
    <xf numFmtId="0" fontId="5" fillId="11" borderId="1" xfId="0" applyFont="1" applyFill="1" applyBorder="1" applyAlignment="1">
      <alignment horizontal="left" vertical="top" wrapText="1"/>
    </xf>
    <xf numFmtId="164" fontId="5" fillId="0" borderId="1" xfId="0" applyNumberFormat="1" applyFont="1" applyBorder="1" applyAlignment="1">
      <alignment horizontal="center" vertical="top" wrapText="1"/>
    </xf>
    <xf numFmtId="0" fontId="5" fillId="12" borderId="1" xfId="0" applyFont="1" applyFill="1" applyBorder="1" applyAlignment="1">
      <alignment horizontal="left" vertical="top" wrapText="1"/>
    </xf>
    <xf numFmtId="0" fontId="5" fillId="13" borderId="1" xfId="0" applyFont="1" applyFill="1" applyBorder="1" applyAlignment="1">
      <alignment horizontal="left" vertical="top" wrapText="1"/>
    </xf>
    <xf numFmtId="165" fontId="5" fillId="0" borderId="1" xfId="0" applyNumberFormat="1" applyFont="1" applyBorder="1" applyAlignment="1">
      <alignment horizontal="left" vertical="top" wrapText="1"/>
    </xf>
    <xf numFmtId="165" fontId="6" fillId="0" borderId="1" xfId="0" applyNumberFormat="1" applyFont="1" applyBorder="1" applyAlignment="1">
      <alignment horizontal="left" vertical="top" wrapText="1"/>
    </xf>
    <xf numFmtId="0" fontId="7" fillId="0" borderId="0" xfId="0" applyFont="1"/>
    <xf numFmtId="165" fontId="13" fillId="6" borderId="0" xfId="0" applyNumberFormat="1" applyFont="1" applyFill="1"/>
    <xf numFmtId="1" fontId="13" fillId="6" borderId="0" xfId="0" applyNumberFormat="1" applyFont="1" applyFill="1"/>
    <xf numFmtId="9" fontId="13" fillId="6" borderId="0" xfId="0" applyNumberFormat="1" applyFont="1" applyFill="1"/>
    <xf numFmtId="164" fontId="14" fillId="0" borderId="1" xfId="0" applyNumberFormat="1" applyFont="1" applyBorder="1" applyAlignment="1">
      <alignment horizontal="center" vertical="top" wrapText="1"/>
    </xf>
    <xf numFmtId="1" fontId="5" fillId="0" borderId="1" xfId="0" applyNumberFormat="1" applyFont="1" applyBorder="1" applyAlignment="1">
      <alignment horizontal="center" vertical="top" wrapText="1"/>
    </xf>
    <xf numFmtId="165" fontId="6" fillId="0" borderId="1" xfId="0" applyNumberFormat="1" applyFont="1" applyBorder="1" applyAlignment="1">
      <alignment horizontal="center" vertical="top" wrapText="1"/>
    </xf>
    <xf numFmtId="0" fontId="6" fillId="7" borderId="1" xfId="0" applyFont="1" applyFill="1" applyBorder="1" applyAlignment="1">
      <alignment horizontal="left" vertical="top" wrapText="1"/>
    </xf>
    <xf numFmtId="0" fontId="6" fillId="9" borderId="1" xfId="0" applyFont="1" applyFill="1" applyBorder="1" applyAlignment="1">
      <alignment horizontal="left" vertical="top" wrapText="1"/>
    </xf>
    <xf numFmtId="165" fontId="5" fillId="10" borderId="1" xfId="0" applyNumberFormat="1" applyFont="1" applyFill="1" applyBorder="1" applyAlignment="1">
      <alignment horizontal="center" vertical="top" wrapText="1"/>
    </xf>
    <xf numFmtId="166" fontId="5" fillId="0" borderId="1" xfId="0" applyNumberFormat="1" applyFont="1" applyBorder="1" applyAlignment="1">
      <alignment horizontal="left" vertical="top" wrapText="1"/>
    </xf>
    <xf numFmtId="0" fontId="5" fillId="11" borderId="1" xfId="0" applyFont="1" applyFill="1" applyBorder="1" applyAlignment="1">
      <alignment horizontal="center" vertical="top" wrapText="1"/>
    </xf>
    <xf numFmtId="0" fontId="5" fillId="7" borderId="1" xfId="0" applyFont="1" applyFill="1" applyBorder="1" applyAlignment="1">
      <alignment horizontal="center" vertical="top" wrapText="1"/>
    </xf>
    <xf numFmtId="0" fontId="5" fillId="12" borderId="1" xfId="0" applyFont="1" applyFill="1" applyBorder="1" applyAlignment="1">
      <alignment horizontal="center" vertical="top" wrapText="1"/>
    </xf>
    <xf numFmtId="0" fontId="5" fillId="13" borderId="1" xfId="0" applyFont="1" applyFill="1" applyBorder="1" applyAlignment="1">
      <alignment horizontal="center" vertical="top" wrapText="1"/>
    </xf>
    <xf numFmtId="164" fontId="5" fillId="4" borderId="1" xfId="0" applyNumberFormat="1" applyFont="1" applyFill="1" applyBorder="1" applyAlignment="1">
      <alignment horizontal="center" vertical="top" wrapText="1"/>
    </xf>
    <xf numFmtId="167" fontId="5" fillId="4" borderId="1" xfId="0" applyNumberFormat="1" applyFont="1" applyFill="1" applyBorder="1" applyAlignment="1">
      <alignment horizontal="center" vertical="top" wrapText="1"/>
    </xf>
    <xf numFmtId="0" fontId="15" fillId="4" borderId="1" xfId="0" applyFont="1" applyFill="1" applyBorder="1" applyAlignment="1">
      <alignment horizontal="left" vertical="top" wrapText="1"/>
    </xf>
    <xf numFmtId="0" fontId="5" fillId="14" borderId="1" xfId="0" applyFont="1" applyFill="1" applyBorder="1" applyAlignment="1">
      <alignment horizontal="left" vertical="top" wrapText="1"/>
    </xf>
    <xf numFmtId="0" fontId="6" fillId="14" borderId="1" xfId="0" applyFont="1" applyFill="1" applyBorder="1" applyAlignment="1">
      <alignment horizontal="left" vertical="top" wrapText="1"/>
    </xf>
    <xf numFmtId="167" fontId="6" fillId="0" borderId="1" xfId="0" applyNumberFormat="1" applyFont="1" applyBorder="1" applyAlignment="1">
      <alignment horizontal="center" vertical="top" wrapText="1"/>
    </xf>
    <xf numFmtId="0" fontId="6" fillId="15" borderId="1" xfId="0" applyFont="1" applyFill="1" applyBorder="1" applyAlignment="1">
      <alignment horizontal="left" vertical="top" wrapText="1"/>
    </xf>
    <xf numFmtId="0" fontId="15" fillId="0" borderId="1" xfId="0" applyFont="1" applyBorder="1" applyAlignment="1">
      <alignment horizontal="left" vertical="top" wrapText="1"/>
    </xf>
    <xf numFmtId="0" fontId="6" fillId="11" borderId="1" xfId="0" applyFont="1" applyFill="1" applyBorder="1" applyAlignment="1">
      <alignment horizontal="left" vertical="top" wrapText="1"/>
    </xf>
    <xf numFmtId="164" fontId="11" fillId="0" borderId="1" xfId="0" applyNumberFormat="1" applyFont="1" applyBorder="1" applyAlignment="1">
      <alignment horizontal="center" vertical="top" wrapText="1"/>
    </xf>
    <xf numFmtId="0" fontId="5" fillId="3" borderId="1" xfId="0" applyFont="1" applyFill="1" applyBorder="1" applyAlignment="1">
      <alignment horizontal="left" vertical="top" wrapText="1"/>
    </xf>
    <xf numFmtId="0" fontId="6" fillId="16" borderId="1" xfId="0" applyFont="1" applyFill="1" applyBorder="1" applyAlignment="1">
      <alignment horizontal="left" vertical="top" wrapText="1"/>
    </xf>
    <xf numFmtId="0" fontId="6" fillId="13" borderId="1" xfId="0" applyFont="1" applyFill="1" applyBorder="1" applyAlignment="1">
      <alignment horizontal="left" vertical="top" wrapText="1"/>
    </xf>
    <xf numFmtId="0" fontId="6" fillId="17" borderId="1" xfId="0" applyFont="1" applyFill="1" applyBorder="1" applyAlignment="1">
      <alignment horizontal="left" vertical="top" wrapText="1"/>
    </xf>
    <xf numFmtId="164" fontId="5" fillId="7" borderId="1" xfId="0" applyNumberFormat="1" applyFont="1" applyFill="1" applyBorder="1" applyAlignment="1">
      <alignment horizontal="center" vertical="top" wrapText="1"/>
    </xf>
    <xf numFmtId="167" fontId="5" fillId="7" borderId="1" xfId="0" applyNumberFormat="1" applyFont="1" applyFill="1" applyBorder="1" applyAlignment="1">
      <alignment horizontal="center" vertical="top" wrapText="1"/>
    </xf>
    <xf numFmtId="0" fontId="15" fillId="7" borderId="1" xfId="0" applyFont="1" applyFill="1" applyBorder="1" applyAlignment="1">
      <alignment horizontal="left" vertical="top" wrapText="1"/>
    </xf>
    <xf numFmtId="164" fontId="5" fillId="8" borderId="1" xfId="0" applyNumberFormat="1" applyFont="1" applyFill="1" applyBorder="1" applyAlignment="1">
      <alignment horizontal="center" vertical="top" wrapText="1"/>
    </xf>
    <xf numFmtId="167" fontId="5" fillId="8" borderId="1" xfId="0" applyNumberFormat="1" applyFont="1" applyFill="1" applyBorder="1" applyAlignment="1">
      <alignment horizontal="center" vertical="top" wrapText="1"/>
    </xf>
    <xf numFmtId="0" fontId="15" fillId="8" borderId="1" xfId="0" applyFont="1" applyFill="1" applyBorder="1" applyAlignment="1">
      <alignment horizontal="left" vertical="top" wrapText="1"/>
    </xf>
    <xf numFmtId="0" fontId="6" fillId="12" borderId="1" xfId="0" applyFont="1" applyFill="1" applyBorder="1" applyAlignment="1">
      <alignment horizontal="left" vertical="top" wrapText="1"/>
    </xf>
    <xf numFmtId="0" fontId="17" fillId="0" borderId="0" xfId="0" applyFont="1"/>
    <xf numFmtId="164" fontId="17" fillId="0" borderId="0" xfId="0" applyNumberFormat="1" applyFont="1"/>
    <xf numFmtId="0" fontId="7" fillId="0" borderId="0" xfId="0" applyFont="1" applyAlignment="1">
      <alignment wrapText="1"/>
    </xf>
    <xf numFmtId="0" fontId="6" fillId="0" borderId="0" xfId="0" applyFont="1"/>
    <xf numFmtId="0" fontId="18" fillId="0" borderId="0" xfId="0" applyFont="1"/>
    <xf numFmtId="0" fontId="2" fillId="0" borderId="0" xfId="0" applyFont="1" applyAlignment="1"/>
    <xf numFmtId="0" fontId="7" fillId="0" borderId="0" xfId="0" applyFont="1" applyAlignment="1"/>
  </cellXfs>
  <cellStyles count="1">
    <cellStyle name="Normal" xfId="0" builtinId="0"/>
  </cellStyles>
  <dxfs count="2">
    <dxf>
      <fill>
        <patternFill>
          <bgColor rgb="FFFFEB9C"/>
        </patternFill>
      </fill>
    </dxf>
    <dxf>
      <fill>
        <patternFill>
          <bgColor rgb="FFC6EFCE"/>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E2EFDA"/>
      <rgbColor rgb="FF993366"/>
      <rgbColor rgb="FFFFF2CC"/>
      <rgbColor rgb="FFDDEBF7"/>
      <rgbColor rgb="FF660066"/>
      <rgbColor rgb="FFFF8080"/>
      <rgbColor rgb="FF0066CC"/>
      <rgbColor rgb="FFC9E2F5"/>
      <rgbColor rgb="FF000080"/>
      <rgbColor rgb="FFFF00FF"/>
      <rgbColor rgb="FFFFE699"/>
      <rgbColor rgb="FF00FFFF"/>
      <rgbColor rgb="FF800080"/>
      <rgbColor rgb="FF800000"/>
      <rgbColor rgb="FF008080"/>
      <rgbColor rgb="FF0000FF"/>
      <rgbColor rgb="FF00CCFF"/>
      <rgbColor rgb="FFDEEAF6"/>
      <rgbColor rgb="FFC6EFCE"/>
      <rgbColor rgb="FFFFEB9C"/>
      <rgbColor rgb="FFD9D9D9"/>
      <rgbColor rgb="FFFCE4D6"/>
      <rgbColor rgb="FFEADCF4"/>
      <rgbColor rgb="FFFFC7CE"/>
      <rgbColor rgb="FF3366FF"/>
      <rgbColor rgb="FF33CCCC"/>
      <rgbColor rgb="FF99CC00"/>
      <rgbColor rgb="FFEDEDED"/>
      <rgbColor rgb="FFFF9900"/>
      <rgbColor rgb="FFFF6600"/>
      <rgbColor rgb="FF666666"/>
      <rgbColor rgb="FFF2F2F2"/>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1"/>
  <sheetViews>
    <sheetView showGridLines="0" topLeftCell="A7" zoomScaleNormal="100" workbookViewId="0">
      <selection activeCell="I10" sqref="I10"/>
    </sheetView>
  </sheetViews>
  <sheetFormatPr defaultColWidth="8.7109375" defaultRowHeight="15"/>
  <cols>
    <col min="1" max="1" width="16" customWidth="1"/>
    <col min="2" max="3" width="10" customWidth="1"/>
    <col min="4" max="4" width="12" customWidth="1"/>
    <col min="5" max="5" width="11" customWidth="1"/>
    <col min="6" max="6" width="13" customWidth="1"/>
    <col min="7" max="7" width="14" customWidth="1"/>
    <col min="8" max="8" width="12" customWidth="1"/>
    <col min="9" max="9" width="11" customWidth="1"/>
    <col min="10" max="10" width="30" customWidth="1"/>
  </cols>
  <sheetData>
    <row r="1" spans="1:10" ht="17.45">
      <c r="A1" s="5" t="s">
        <v>0</v>
      </c>
    </row>
    <row r="2" spans="1:10" ht="25.5" customHeight="1">
      <c r="A2" s="76" t="s">
        <v>1</v>
      </c>
      <c r="B2" s="76"/>
      <c r="C2" s="76"/>
      <c r="D2" s="76"/>
      <c r="E2" s="76"/>
      <c r="F2" s="76"/>
      <c r="G2" s="76"/>
      <c r="H2" s="76"/>
      <c r="I2" s="76"/>
    </row>
    <row r="4" spans="1:10">
      <c r="A4" s="7" t="s">
        <v>2</v>
      </c>
    </row>
    <row r="5" spans="1:10" ht="23.85">
      <c r="A5" s="8"/>
      <c r="B5" s="8" t="s">
        <v>3</v>
      </c>
      <c r="C5" s="8" t="s">
        <v>4</v>
      </c>
      <c r="D5" s="8" t="s">
        <v>5</v>
      </c>
      <c r="E5" s="8" t="s">
        <v>6</v>
      </c>
      <c r="F5" s="8" t="s">
        <v>7</v>
      </c>
      <c r="G5" s="8" t="s">
        <v>8</v>
      </c>
      <c r="H5" s="8" t="s">
        <v>9</v>
      </c>
      <c r="I5" s="8" t="s">
        <v>10</v>
      </c>
    </row>
    <row r="6" spans="1:10">
      <c r="A6" s="9" t="s">
        <v>11</v>
      </c>
      <c r="B6" s="10">
        <f>SUMIFS(Backlog!$K:$K,Backlog!$I:$I,$A6,Backlog!$B:$B,"Sous-tâche")</f>
        <v>102.5</v>
      </c>
      <c r="C6" s="10">
        <f>SUMIFS(Backlog!$K:$K,Backlog!$I:$I,$A6,Backlog!$B:$B,"Sous-tâche",Backlog!$Q:$Q,"Done")</f>
        <v>5</v>
      </c>
      <c r="D6" s="10">
        <f>SUMIFS(Backlog!$K:$K,Backlog!$I:$I,$A6,Backlog!$B:$B,"Sous-tâche",Backlog!$Q:$Q,"In Progress")</f>
        <v>2</v>
      </c>
      <c r="E6" s="10">
        <f>B6-C6-D6</f>
        <v>95.5</v>
      </c>
      <c r="F6" s="11">
        <f>COUNTIFS(Backlog!$I:$I,$A6,Backlog!$B:$B,"Sous-tâche",Backlog!$Q:$Q,"Done")</f>
        <v>4</v>
      </c>
      <c r="G6" s="11">
        <f>COUNTIFS(Backlog!$I:$I,$A6,Backlog!$B:$B,"Sous-tâche",Backlog!$Q:$Q,"In Progress")</f>
        <v>3</v>
      </c>
      <c r="H6" s="12">
        <f>IF(B6=0,0,C6/B6)</f>
        <v>4.878048780487805E-2</v>
      </c>
      <c r="I6" s="12">
        <f>IF(B6=0,0,(C6+0.5*D6)/B6)</f>
        <v>5.8536585365853662E-2</v>
      </c>
      <c r="J6" s="6" t="s">
        <v>12</v>
      </c>
    </row>
    <row r="7" spans="1:10">
      <c r="A7" s="9" t="s">
        <v>13</v>
      </c>
      <c r="B7" s="10">
        <f>SUMIFS(Backlog!$K:$K,Backlog!$I:$I,$A7,Backlog!$B:$B,"Sous-tâche")</f>
        <v>125</v>
      </c>
      <c r="C7" s="10">
        <f>SUMIFS(Backlog!$K:$K,Backlog!$I:$I,$A7,Backlog!$B:$B,"Sous-tâche",Backlog!$Q:$Q,"Done")</f>
        <v>19.5</v>
      </c>
      <c r="D7" s="10">
        <f>SUMIFS(Backlog!$K:$K,Backlog!$I:$I,$A7,Backlog!$B:$B,"Sous-tâche",Backlog!$Q:$Q,"In Progress")</f>
        <v>12</v>
      </c>
      <c r="E7" s="10">
        <f>B7-C7-D7</f>
        <v>93.5</v>
      </c>
      <c r="F7" s="11">
        <f>COUNTIFS(Backlog!$I:$I,$A7,Backlog!$B:$B,"Sous-tâche",Backlog!$Q:$Q,"Done")</f>
        <v>17</v>
      </c>
      <c r="G7" s="11">
        <f>COUNTIFS(Backlog!$I:$I,$A7,Backlog!$B:$B,"Sous-tâche",Backlog!$Q:$Q,"In Progress")</f>
        <v>8</v>
      </c>
      <c r="H7" s="12">
        <f>IF(B7=0,0,C7/B7)</f>
        <v>0.156</v>
      </c>
      <c r="I7" s="12">
        <f>IF(B7=0,0,(C7+0.5*D7)/B7)</f>
        <v>0.20399999999999999</v>
      </c>
      <c r="J7" s="6" t="s">
        <v>14</v>
      </c>
    </row>
    <row r="8" spans="1:10">
      <c r="A8" s="9" t="s">
        <v>15</v>
      </c>
      <c r="B8" s="10">
        <f>SUMIFS(Backlog!$K:$K,Backlog!$I:$I,$A8,Backlog!$B:$B,"Sous-tâche")</f>
        <v>40</v>
      </c>
      <c r="C8" s="10">
        <f>SUMIFS(Backlog!$K:$K,Backlog!$I:$I,$A8,Backlog!$B:$B,"Sous-tâche",Backlog!$Q:$Q,"Done")</f>
        <v>0</v>
      </c>
      <c r="D8" s="10">
        <f>SUMIFS(Backlog!$K:$K,Backlog!$I:$I,$A8,Backlog!$B:$B,"Sous-tâche",Backlog!$Q:$Q,"In Progress")</f>
        <v>0</v>
      </c>
      <c r="E8" s="10">
        <f>B8-C8-D8</f>
        <v>40</v>
      </c>
      <c r="F8" s="11">
        <f>COUNTIFS(Backlog!$I:$I,$A8,Backlog!$B:$B,"Sous-tâche",Backlog!$Q:$Q,"Done")</f>
        <v>0</v>
      </c>
      <c r="G8" s="11">
        <f>COUNTIFS(Backlog!$I:$I,$A8,Backlog!$B:$B,"Sous-tâche",Backlog!$Q:$Q,"In Progress")</f>
        <v>0</v>
      </c>
      <c r="H8" s="12">
        <f>IF(B8=0,0,C8/B8)</f>
        <v>0</v>
      </c>
      <c r="I8" s="12">
        <f>IF(B8=0,0,(C8+0.5*D8)/B8)</f>
        <v>0</v>
      </c>
      <c r="J8" s="6" t="s">
        <v>16</v>
      </c>
    </row>
    <row r="9" spans="1:10">
      <c r="A9" s="9" t="s">
        <v>17</v>
      </c>
      <c r="B9" s="10">
        <f>SUMIFS(Backlog!$K:$K,Backlog!$I:$I,$A9,Backlog!$B:$B,"Sous-tâche")</f>
        <v>42</v>
      </c>
      <c r="C9" s="10">
        <f>SUMIFS(Backlog!$K:$K,Backlog!$I:$I,$A9,Backlog!$B:$B,"Sous-tâche",Backlog!$Q:$Q,"Done")</f>
        <v>0</v>
      </c>
      <c r="D9" s="10">
        <f>SUMIFS(Backlog!$K:$K,Backlog!$I:$I,$A9,Backlog!$B:$B,"Sous-tâche",Backlog!$Q:$Q,"In Progress")</f>
        <v>4</v>
      </c>
      <c r="E9" s="10">
        <f>B9-C9-D9</f>
        <v>38</v>
      </c>
      <c r="F9" s="11">
        <f>COUNTIFS(Backlog!$I:$I,$A9,Backlog!$B:$B,"Sous-tâche",Backlog!$Q:$Q,"Done")</f>
        <v>0</v>
      </c>
      <c r="G9" s="11">
        <f>COUNTIFS(Backlog!$I:$I,$A9,Backlog!$B:$B,"Sous-tâche",Backlog!$Q:$Q,"In Progress")</f>
        <v>2</v>
      </c>
      <c r="H9" s="12">
        <f>IF(B9=0,0,C9/B9)</f>
        <v>0</v>
      </c>
      <c r="I9" s="12">
        <f>IF(B9=0,0,(C9+0.5*D9)/B9)</f>
        <v>4.7619047619047616E-2</v>
      </c>
      <c r="J9" s="6" t="s">
        <v>18</v>
      </c>
    </row>
    <row r="11" spans="1:10">
      <c r="A11" s="7" t="s">
        <v>19</v>
      </c>
    </row>
    <row r="12" spans="1:10" ht="23.85">
      <c r="A12" s="8"/>
      <c r="B12" s="8" t="s">
        <v>3</v>
      </c>
      <c r="C12" s="8" t="s">
        <v>4</v>
      </c>
      <c r="D12" s="8" t="s">
        <v>5</v>
      </c>
      <c r="E12" s="8" t="s">
        <v>6</v>
      </c>
      <c r="F12" s="8" t="s">
        <v>7</v>
      </c>
      <c r="G12" s="8" t="s">
        <v>8</v>
      </c>
      <c r="H12" s="8" t="s">
        <v>9</v>
      </c>
      <c r="I12" s="8" t="s">
        <v>10</v>
      </c>
    </row>
    <row r="13" spans="1:10">
      <c r="A13" s="9" t="s">
        <v>20</v>
      </c>
      <c r="B13" s="10">
        <f>SUMIFS(Backlog!$K:$K,Backlog!$N:$N,$A13,Backlog!$B:$B,"Sous-tâche")</f>
        <v>25.5</v>
      </c>
      <c r="C13" s="10">
        <f>SUMIFS(Backlog!$K:$K,Backlog!$N:$N,$A13,Backlog!$B:$B,"Sous-tâche",Backlog!$Q:$Q,"Done")</f>
        <v>9</v>
      </c>
      <c r="D13" s="10">
        <f>SUMIFS(Backlog!$K:$K,Backlog!$N:$N,$A13,Backlog!$B:$B,"Sous-tâche",Backlog!$Q:$Q,"In Progress")</f>
        <v>10.5</v>
      </c>
      <c r="E13" s="10">
        <f>B13-C13-D13</f>
        <v>6</v>
      </c>
      <c r="F13" s="11">
        <f>COUNTIFS(Backlog!$N:$N,$A13,Backlog!$B:$B,"Sous-tâche",Backlog!$Q:$Q,"Done")</f>
        <v>9</v>
      </c>
      <c r="G13" s="11">
        <f>COUNTIFS(Backlog!$N:$N,$A13,Backlog!$B:$B,"Sous-tâche",Backlog!$Q:$Q,"In Progress")</f>
        <v>8</v>
      </c>
      <c r="H13" s="12">
        <f>IF(B13=0,0,C13/B13)</f>
        <v>0.35294117647058826</v>
      </c>
      <c r="I13" s="12">
        <f>IF(B13=0,0,(C13+0.5*D13)/B13)</f>
        <v>0.55882352941176472</v>
      </c>
    </row>
    <row r="14" spans="1:10">
      <c r="A14" s="9" t="s">
        <v>21</v>
      </c>
      <c r="B14" s="10">
        <f>SUMIFS(Backlog!$K:$K,Backlog!$N:$N,$A14,Backlog!$B:$B,"Sous-tâche")</f>
        <v>26.5</v>
      </c>
      <c r="C14" s="10">
        <f>SUMIFS(Backlog!$K:$K,Backlog!$N:$N,$A14,Backlog!$B:$B,"Sous-tâche",Backlog!$Q:$Q,"Done")</f>
        <v>6.5</v>
      </c>
      <c r="D14" s="10">
        <f>SUMIFS(Backlog!$K:$K,Backlog!$N:$N,$A14,Backlog!$B:$B,"Sous-tâche",Backlog!$Q:$Q,"In Progress")</f>
        <v>5.5</v>
      </c>
      <c r="E14" s="10">
        <f>B14-C14-D14</f>
        <v>14.5</v>
      </c>
      <c r="F14" s="11">
        <f>COUNTIFS(Backlog!$N:$N,$A14,Backlog!$B:$B,"Sous-tâche",Backlog!$Q:$Q,"Done")</f>
        <v>5</v>
      </c>
      <c r="G14" s="11">
        <f>COUNTIFS(Backlog!$N:$N,$A14,Backlog!$B:$B,"Sous-tâche",Backlog!$Q:$Q,"In Progress")</f>
        <v>3</v>
      </c>
      <c r="H14" s="12">
        <f>IF(B14=0,0,C14/B14)</f>
        <v>0.24528301886792453</v>
      </c>
      <c r="I14" s="12">
        <f>IF(B14=0,0,(C14+0.5*D14)/B14)</f>
        <v>0.34905660377358488</v>
      </c>
    </row>
    <row r="15" spans="1:10">
      <c r="A15" s="9" t="s">
        <v>22</v>
      </c>
      <c r="B15" s="10">
        <f>SUMIFS(Backlog!$K:$K,Backlog!$N:$N,$A15,Backlog!$B:$B,"Sous-tâche")</f>
        <v>30</v>
      </c>
      <c r="C15" s="10">
        <f>SUMIFS(Backlog!$K:$K,Backlog!$N:$N,$A15,Backlog!$B:$B,"Sous-tâche",Backlog!$Q:$Q,"Done")</f>
        <v>5.5</v>
      </c>
      <c r="D15" s="10">
        <f>SUMIFS(Backlog!$K:$K,Backlog!$N:$N,$A15,Backlog!$B:$B,"Sous-tâche",Backlog!$Q:$Q,"In Progress")</f>
        <v>0</v>
      </c>
      <c r="E15" s="10">
        <f>B15-C15-D15</f>
        <v>24.5</v>
      </c>
      <c r="F15" s="11">
        <f>COUNTIFS(Backlog!$N:$N,$A15,Backlog!$B:$B,"Sous-tâche",Backlog!$Q:$Q,"Done")</f>
        <v>4</v>
      </c>
      <c r="G15" s="11">
        <f>COUNTIFS(Backlog!$N:$N,$A15,Backlog!$B:$B,"Sous-tâche",Backlog!$Q:$Q,"In Progress")</f>
        <v>0</v>
      </c>
      <c r="H15" s="12">
        <f>IF(B15=0,0,C15/B15)</f>
        <v>0.18333333333333332</v>
      </c>
      <c r="I15" s="12">
        <f>IF(B15=0,0,(C15+0.5*D15)/B15)</f>
        <v>0.18333333333333332</v>
      </c>
    </row>
    <row r="16" spans="1:10">
      <c r="A16" s="9" t="s">
        <v>23</v>
      </c>
      <c r="B16" s="10">
        <f>SUMIFS(Backlog!$K:$K,Backlog!$N:$N,$A16,Backlog!$B:$B,"Sous-tâche")</f>
        <v>21.5</v>
      </c>
      <c r="C16" s="10">
        <f>SUMIFS(Backlog!$K:$K,Backlog!$N:$N,$A16,Backlog!$B:$B,"Sous-tâche",Backlog!$Q:$Q,"Done")</f>
        <v>0</v>
      </c>
      <c r="D16" s="10">
        <f>SUMIFS(Backlog!$K:$K,Backlog!$N:$N,$A16,Backlog!$B:$B,"Sous-tâche",Backlog!$Q:$Q,"In Progress")</f>
        <v>0</v>
      </c>
      <c r="E16" s="10">
        <f>B16-C16-D16</f>
        <v>21.5</v>
      </c>
      <c r="F16" s="11">
        <f>COUNTIFS(Backlog!$N:$N,$A16,Backlog!$B:$B,"Sous-tâche",Backlog!$Q:$Q,"Done")</f>
        <v>0</v>
      </c>
      <c r="G16" s="11">
        <f>COUNTIFS(Backlog!$N:$N,$A16,Backlog!$B:$B,"Sous-tâche",Backlog!$Q:$Q,"In Progress")</f>
        <v>0</v>
      </c>
      <c r="H16" s="12">
        <f>IF(B16=0,0,C16/B16)</f>
        <v>0</v>
      </c>
      <c r="I16" s="12">
        <f>IF(B16=0,0,(C16+0.5*D16)/B16)</f>
        <v>0</v>
      </c>
    </row>
    <row r="17" spans="1:10">
      <c r="A17" s="9" t="s">
        <v>24</v>
      </c>
      <c r="B17" s="10">
        <f>SUMIFS(Backlog!$K:$K,Backlog!$N:$N,$A17,Backlog!$B:$B,"Sous-tâche")</f>
        <v>22</v>
      </c>
      <c r="C17" s="10">
        <f>SUMIFS(Backlog!$K:$K,Backlog!$N:$N,$A17,Backlog!$B:$B,"Sous-tâche",Backlog!$Q:$Q,"Done")</f>
        <v>1</v>
      </c>
      <c r="D17" s="10">
        <f>SUMIFS(Backlog!$K:$K,Backlog!$N:$N,$A17,Backlog!$B:$B,"Sous-tâche",Backlog!$Q:$Q,"In Progress")</f>
        <v>2</v>
      </c>
      <c r="E17" s="10">
        <f>B17-C17-D17</f>
        <v>19</v>
      </c>
      <c r="F17" s="11">
        <f>COUNTIFS(Backlog!$N:$N,$A17,Backlog!$B:$B,"Sous-tâche",Backlog!$Q:$Q,"Done")</f>
        <v>1</v>
      </c>
      <c r="G17" s="11">
        <f>COUNTIFS(Backlog!$N:$N,$A17,Backlog!$B:$B,"Sous-tâche",Backlog!$Q:$Q,"In Progress")</f>
        <v>2</v>
      </c>
      <c r="H17" s="12">
        <f>IF(B17=0,0,C17/B17)</f>
        <v>4.5454545454545456E-2</v>
      </c>
      <c r="I17" s="12">
        <f>IF(B17=0,0,(C17+0.5*D17)/B17)</f>
        <v>9.0909090909090912E-2</v>
      </c>
    </row>
    <row r="18" spans="1:10">
      <c r="A18" s="9" t="s">
        <v>25</v>
      </c>
      <c r="B18" s="10">
        <f>SUMIFS(Backlog!$K:$K,Backlog!$N:$N,$A18,Backlog!$B:$B,"Sous-tâche")</f>
        <v>26.5</v>
      </c>
      <c r="C18" s="10">
        <f>SUMIFS(Backlog!$K:$K,Backlog!$N:$N,$A18,Backlog!$B:$B,"Sous-tâche",Backlog!$Q:$Q,"Done")</f>
        <v>1</v>
      </c>
      <c r="D18" s="10">
        <f>SUMIFS(Backlog!$K:$K,Backlog!$N:$N,$A18,Backlog!$B:$B,"Sous-tâche",Backlog!$Q:$Q,"In Progress")</f>
        <v>0</v>
      </c>
      <c r="E18" s="10">
        <f>B18-C18-D18</f>
        <v>25.5</v>
      </c>
      <c r="F18" s="11">
        <f>COUNTIFS(Backlog!$N:$N,$A18,Backlog!$B:$B,"Sous-tâche",Backlog!$Q:$Q,"Done")</f>
        <v>1</v>
      </c>
      <c r="G18" s="11">
        <f>COUNTIFS(Backlog!$N:$N,$A18,Backlog!$B:$B,"Sous-tâche",Backlog!$Q:$Q,"In Progress")</f>
        <v>0</v>
      </c>
      <c r="H18" s="12">
        <f>IF(B18=0,0,C18/B18)</f>
        <v>3.7735849056603772E-2</v>
      </c>
      <c r="I18" s="12">
        <f>IF(B18=0,0,(C18+0.5*D18)/B18)</f>
        <v>3.7735849056603772E-2</v>
      </c>
    </row>
    <row r="19" spans="1:10">
      <c r="A19" s="9" t="s">
        <v>26</v>
      </c>
      <c r="B19" s="10">
        <f>SUMIFS(Backlog!$K:$K,Backlog!$N:$N,$A19,Backlog!$B:$B,"Sous-tâche")</f>
        <v>39</v>
      </c>
      <c r="C19" s="10">
        <f>SUMIFS(Backlog!$K:$K,Backlog!$N:$N,$A19,Backlog!$B:$B,"Sous-tâche",Backlog!$Q:$Q,"Done")</f>
        <v>1.5</v>
      </c>
      <c r="D19" s="10">
        <f>SUMIFS(Backlog!$K:$K,Backlog!$N:$N,$A19,Backlog!$B:$B,"Sous-tâche",Backlog!$Q:$Q,"In Progress")</f>
        <v>0</v>
      </c>
      <c r="E19" s="10">
        <f>B19-C19-D19</f>
        <v>37.5</v>
      </c>
      <c r="F19" s="11">
        <f>COUNTIFS(Backlog!$N:$N,$A19,Backlog!$B:$B,"Sous-tâche",Backlog!$Q:$Q,"Done")</f>
        <v>1</v>
      </c>
      <c r="G19" s="11">
        <f>COUNTIFS(Backlog!$N:$N,$A19,Backlog!$B:$B,"Sous-tâche",Backlog!$Q:$Q,"In Progress")</f>
        <v>0</v>
      </c>
      <c r="H19" s="12">
        <f>IF(B19=0,0,C19/B19)</f>
        <v>3.8461538461538464E-2</v>
      </c>
      <c r="I19" s="12">
        <f>IF(B19=0,0,(C19+0.5*D19)/B19)</f>
        <v>3.8461538461538464E-2</v>
      </c>
    </row>
    <row r="21" spans="1:10">
      <c r="A21" s="7" t="s">
        <v>27</v>
      </c>
    </row>
    <row r="22" spans="1:10" ht="23.85">
      <c r="A22" s="8"/>
      <c r="B22" s="8" t="s">
        <v>3</v>
      </c>
      <c r="C22" s="8" t="s">
        <v>4</v>
      </c>
      <c r="D22" s="8" t="s">
        <v>5</v>
      </c>
      <c r="E22" s="8" t="s">
        <v>6</v>
      </c>
      <c r="F22" s="8" t="s">
        <v>7</v>
      </c>
      <c r="G22" s="8" t="s">
        <v>8</v>
      </c>
      <c r="H22" s="8" t="s">
        <v>9</v>
      </c>
      <c r="I22" s="8" t="s">
        <v>10</v>
      </c>
    </row>
    <row r="23" spans="1:10">
      <c r="A23" s="9" t="s">
        <v>28</v>
      </c>
      <c r="B23" s="10">
        <f>SUMIFS(Backlog!$K:$K,Backlog!$C:$C,$A23,Backlog!$B:$B,"Sous-tâche")</f>
        <v>188</v>
      </c>
      <c r="C23" s="10">
        <f>SUMIFS(Backlog!$K:$K,Backlog!$C:$C,$A23,Backlog!$B:$B,"Sous-tâche",Backlog!$Q:$Q,"Done")</f>
        <v>23</v>
      </c>
      <c r="D23" s="10">
        <f>SUMIFS(Backlog!$K:$K,Backlog!$C:$C,$A23,Backlog!$B:$B,"Sous-tâche",Backlog!$Q:$Q,"In Progress")</f>
        <v>18</v>
      </c>
      <c r="E23" s="10">
        <f>B23-C23-D23</f>
        <v>147</v>
      </c>
      <c r="F23" s="11">
        <f>COUNTIFS(Backlog!$C:$C,$A23,Backlog!$B:$B,"Sous-tâche",Backlog!$Q:$Q,"Done")</f>
        <v>20</v>
      </c>
      <c r="G23" s="11">
        <f>COUNTIFS(Backlog!$C:$C,$A23,Backlog!$B:$B,"Sous-tâche",Backlog!$Q:$Q,"In Progress")</f>
        <v>13</v>
      </c>
      <c r="H23" s="12">
        <f>IF(B23=0,0,C23/B23)</f>
        <v>0.12234042553191489</v>
      </c>
      <c r="I23" s="12">
        <f>IF(B23=0,0,(C23+0.5*D23)/B23)</f>
        <v>0.1702127659574468</v>
      </c>
    </row>
    <row r="24" spans="1:10">
      <c r="A24" s="9" t="s">
        <v>29</v>
      </c>
      <c r="B24" s="10">
        <f>SUMIFS(Backlog!$K:$K,Backlog!$C:$C,$A24,Backlog!$B:$B,"Sous-tâche")</f>
        <v>31</v>
      </c>
      <c r="C24" s="10">
        <f>SUMIFS(Backlog!$K:$K,Backlog!$C:$C,$A24,Backlog!$B:$B,"Sous-tâche",Backlog!$Q:$Q,"Done")</f>
        <v>0</v>
      </c>
      <c r="D24" s="10">
        <f>SUMIFS(Backlog!$K:$K,Backlog!$C:$C,$A24,Backlog!$B:$B,"Sous-tâche",Backlog!$Q:$Q,"In Progress")</f>
        <v>0</v>
      </c>
      <c r="E24" s="10">
        <f>B24-C24-D24</f>
        <v>31</v>
      </c>
      <c r="F24" s="11">
        <f>COUNTIFS(Backlog!$C:$C,$A24,Backlog!$B:$B,"Sous-tâche",Backlog!$Q:$Q,"Done")</f>
        <v>0</v>
      </c>
      <c r="G24" s="11">
        <f>COUNTIFS(Backlog!$C:$C,$A24,Backlog!$B:$B,"Sous-tâche",Backlog!$Q:$Q,"In Progress")</f>
        <v>0</v>
      </c>
      <c r="H24" s="12">
        <f>IF(B24=0,0,C24/B24)</f>
        <v>0</v>
      </c>
      <c r="I24" s="12">
        <f>IF(B24=0,0,(C24+0.5*D24)/B24)</f>
        <v>0</v>
      </c>
    </row>
    <row r="25" spans="1:10">
      <c r="A25" s="9" t="s">
        <v>30</v>
      </c>
      <c r="B25" s="10">
        <f>SUMIFS(Backlog!$K:$K,Backlog!$C:$C,$A25,Backlog!$B:$B,"Sous-tâche")</f>
        <v>90.5</v>
      </c>
      <c r="C25" s="10">
        <f>SUMIFS(Backlog!$K:$K,Backlog!$C:$C,$A25,Backlog!$B:$B,"Sous-tâche",Backlog!$Q:$Q,"Done")</f>
        <v>1.5</v>
      </c>
      <c r="D25" s="10">
        <f>SUMIFS(Backlog!$K:$K,Backlog!$C:$C,$A25,Backlog!$B:$B,"Sous-tâche",Backlog!$Q:$Q,"In Progress")</f>
        <v>0</v>
      </c>
      <c r="E25" s="10">
        <f>B25-C25-D25</f>
        <v>89</v>
      </c>
      <c r="F25" s="11">
        <f>COUNTIFS(Backlog!$C:$C,$A25,Backlog!$B:$B,"Sous-tâche",Backlog!$Q:$Q,"Done")</f>
        <v>1</v>
      </c>
      <c r="G25" s="11">
        <f>COUNTIFS(Backlog!$C:$C,$A25,Backlog!$B:$B,"Sous-tâche",Backlog!$Q:$Q,"In Progress")</f>
        <v>0</v>
      </c>
      <c r="H25" s="12">
        <f>IF(B25=0,0,C25/B25)</f>
        <v>1.6574585635359115E-2</v>
      </c>
      <c r="I25" s="12">
        <f>IF(B25=0,0,(C25+0.5*D25)/B25)</f>
        <v>1.6574585635359115E-2</v>
      </c>
    </row>
    <row r="27" spans="1:10">
      <c r="A27" s="7" t="s">
        <v>31</v>
      </c>
    </row>
    <row r="28" spans="1:10" ht="27.75" customHeight="1">
      <c r="A28" s="4" t="s">
        <v>32</v>
      </c>
      <c r="B28" s="4"/>
      <c r="C28" s="4"/>
      <c r="D28" s="4"/>
      <c r="E28" s="4"/>
      <c r="F28" s="4"/>
      <c r="G28" s="4"/>
      <c r="H28" s="4"/>
      <c r="I28" s="4"/>
      <c r="J28" s="4"/>
    </row>
    <row r="29" spans="1:10" ht="27.75" customHeight="1">
      <c r="A29" s="4" t="s">
        <v>33</v>
      </c>
      <c r="B29" s="4"/>
      <c r="C29" s="4"/>
      <c r="D29" s="4"/>
      <c r="E29" s="4"/>
      <c r="F29" s="4"/>
      <c r="G29" s="4"/>
      <c r="H29" s="4"/>
      <c r="I29" s="4"/>
      <c r="J29" s="4"/>
    </row>
    <row r="30" spans="1:10" ht="27.75" customHeight="1">
      <c r="A30" s="4" t="s">
        <v>34</v>
      </c>
      <c r="B30" s="4"/>
      <c r="C30" s="4"/>
      <c r="D30" s="4"/>
      <c r="E30" s="4"/>
      <c r="F30" s="4"/>
      <c r="G30" s="4"/>
      <c r="H30" s="4"/>
      <c r="I30" s="4"/>
      <c r="J30" s="4"/>
    </row>
    <row r="31" spans="1:10" ht="27.75" customHeight="1">
      <c r="A31" s="4" t="s">
        <v>35</v>
      </c>
      <c r="B31" s="4"/>
      <c r="C31" s="4"/>
      <c r="D31" s="4"/>
      <c r="E31" s="4"/>
      <c r="F31" s="4"/>
      <c r="G31" s="4"/>
      <c r="H31" s="4"/>
      <c r="I31" s="4"/>
      <c r="J31" s="4"/>
    </row>
  </sheetData>
  <mergeCells count="5">
    <mergeCell ref="A2:I2"/>
    <mergeCell ref="A28:J28"/>
    <mergeCell ref="A29:J29"/>
    <mergeCell ref="A30:J30"/>
    <mergeCell ref="A31:J3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2"/>
  <sheetViews>
    <sheetView showGridLines="0" zoomScaleNormal="100" workbookViewId="0">
      <pane ySplit="3" topLeftCell="A4" activePane="bottomLeft" state="frozen"/>
      <selection pane="bottomLeft"/>
    </sheetView>
  </sheetViews>
  <sheetFormatPr defaultColWidth="8.7109375" defaultRowHeight="15"/>
  <cols>
    <col min="1" max="1" width="13" customWidth="1"/>
    <col min="2" max="2" width="48" customWidth="1"/>
    <col min="3" max="3" width="9" customWidth="1"/>
    <col min="4" max="4" width="14" customWidth="1"/>
    <col min="5" max="5" width="10" customWidth="1"/>
    <col min="6" max="6" width="30" customWidth="1"/>
    <col min="7" max="7" width="16" customWidth="1"/>
    <col min="8" max="8" width="60" customWidth="1"/>
  </cols>
  <sheetData>
    <row r="1" spans="1:8" ht="16.149999999999999">
      <c r="A1" s="13" t="s">
        <v>36</v>
      </c>
    </row>
    <row r="3" spans="1:8" ht="23.85">
      <c r="A3" s="8" t="s">
        <v>37</v>
      </c>
      <c r="B3" s="8" t="s">
        <v>38</v>
      </c>
      <c r="C3" s="8" t="s">
        <v>39</v>
      </c>
      <c r="D3" s="8" t="s">
        <v>40</v>
      </c>
      <c r="E3" s="8" t="s">
        <v>41</v>
      </c>
      <c r="F3" s="8" t="s">
        <v>42</v>
      </c>
      <c r="G3" s="8" t="s">
        <v>43</v>
      </c>
      <c r="H3" s="8" t="s">
        <v>44</v>
      </c>
    </row>
    <row r="4" spans="1:8" ht="35.1">
      <c r="A4" s="14" t="s">
        <v>45</v>
      </c>
      <c r="B4" s="14" t="s">
        <v>46</v>
      </c>
      <c r="C4" s="15">
        <v>3</v>
      </c>
      <c r="D4" s="14" t="s">
        <v>47</v>
      </c>
      <c r="E4" s="15" t="s">
        <v>48</v>
      </c>
      <c r="F4" s="14" t="s">
        <v>49</v>
      </c>
      <c r="G4" s="16" t="s">
        <v>50</v>
      </c>
      <c r="H4" s="14" t="s">
        <v>51</v>
      </c>
    </row>
    <row r="5" spans="1:8">
      <c r="A5" s="14" t="s">
        <v>52</v>
      </c>
      <c r="B5" s="14" t="s">
        <v>53</v>
      </c>
      <c r="C5" s="15">
        <v>5</v>
      </c>
      <c r="D5" s="14" t="s">
        <v>47</v>
      </c>
      <c r="E5" s="15" t="s">
        <v>48</v>
      </c>
      <c r="F5" s="14" t="s">
        <v>54</v>
      </c>
      <c r="G5" s="16" t="s">
        <v>55</v>
      </c>
      <c r="H5" s="14"/>
    </row>
    <row r="6" spans="1:8" ht="23.85">
      <c r="A6" s="14" t="s">
        <v>56</v>
      </c>
      <c r="B6" s="14" t="s">
        <v>57</v>
      </c>
      <c r="C6" s="15">
        <v>3</v>
      </c>
      <c r="D6" s="14" t="s">
        <v>47</v>
      </c>
      <c r="E6" s="15" t="s">
        <v>58</v>
      </c>
      <c r="F6" s="14" t="s">
        <v>59</v>
      </c>
      <c r="G6" s="17" t="s">
        <v>60</v>
      </c>
      <c r="H6" s="14" t="s">
        <v>61</v>
      </c>
    </row>
    <row r="7" spans="1:8" ht="23.85">
      <c r="A7" s="14" t="s">
        <v>62</v>
      </c>
      <c r="B7" s="14" t="s">
        <v>63</v>
      </c>
      <c r="C7" s="15">
        <v>5</v>
      </c>
      <c r="D7" s="14" t="s">
        <v>47</v>
      </c>
      <c r="E7" s="15" t="s">
        <v>64</v>
      </c>
      <c r="F7" s="14" t="s">
        <v>65</v>
      </c>
      <c r="G7" s="18" t="s">
        <v>66</v>
      </c>
      <c r="H7" s="14" t="s">
        <v>67</v>
      </c>
    </row>
    <row r="8" spans="1:8">
      <c r="A8" s="14" t="s">
        <v>68</v>
      </c>
      <c r="B8" s="14" t="s">
        <v>69</v>
      </c>
      <c r="C8" s="15">
        <v>3</v>
      </c>
      <c r="D8" s="14" t="s">
        <v>47</v>
      </c>
      <c r="E8" s="15" t="s">
        <v>48</v>
      </c>
      <c r="F8" s="14" t="s">
        <v>70</v>
      </c>
      <c r="G8" s="18" t="s">
        <v>66</v>
      </c>
      <c r="H8" s="14" t="s">
        <v>71</v>
      </c>
    </row>
    <row r="9" spans="1:8">
      <c r="A9" s="14" t="s">
        <v>72</v>
      </c>
      <c r="B9" s="14" t="s">
        <v>73</v>
      </c>
      <c r="C9" s="15">
        <v>3</v>
      </c>
      <c r="D9" s="14" t="s">
        <v>47</v>
      </c>
      <c r="E9" s="15" t="s">
        <v>74</v>
      </c>
      <c r="F9" s="14" t="s">
        <v>75</v>
      </c>
      <c r="G9" s="16" t="s">
        <v>55</v>
      </c>
      <c r="H9" s="14"/>
    </row>
    <row r="10" spans="1:8" ht="23.85">
      <c r="A10" s="14" t="s">
        <v>76</v>
      </c>
      <c r="B10" s="14" t="s">
        <v>77</v>
      </c>
      <c r="C10" s="15">
        <v>5</v>
      </c>
      <c r="D10" s="14" t="s">
        <v>47</v>
      </c>
      <c r="E10" s="15" t="s">
        <v>74</v>
      </c>
      <c r="F10" s="14" t="s">
        <v>78</v>
      </c>
      <c r="G10" s="16" t="s">
        <v>79</v>
      </c>
      <c r="H10" s="14" t="s">
        <v>80</v>
      </c>
    </row>
    <row r="11" spans="1:8">
      <c r="A11" s="14" t="s">
        <v>81</v>
      </c>
      <c r="B11" s="14" t="s">
        <v>82</v>
      </c>
      <c r="C11" s="15">
        <v>5</v>
      </c>
      <c r="D11" s="14" t="s">
        <v>47</v>
      </c>
      <c r="E11" s="15" t="s">
        <v>74</v>
      </c>
      <c r="F11" s="14" t="s">
        <v>83</v>
      </c>
      <c r="G11" s="16" t="s">
        <v>55</v>
      </c>
      <c r="H11" s="14" t="s">
        <v>84</v>
      </c>
    </row>
    <row r="12" spans="1:8" ht="23.85">
      <c r="A12" s="14" t="s">
        <v>85</v>
      </c>
      <c r="B12" s="14" t="s">
        <v>86</v>
      </c>
      <c r="C12" s="15">
        <v>5</v>
      </c>
      <c r="D12" s="14" t="s">
        <v>47</v>
      </c>
      <c r="E12" s="15" t="s">
        <v>74</v>
      </c>
      <c r="F12" s="14" t="s">
        <v>87</v>
      </c>
      <c r="G12" s="16" t="s">
        <v>55</v>
      </c>
      <c r="H12" s="14"/>
    </row>
    <row r="13" spans="1:8" ht="23.85">
      <c r="A13" s="14" t="s">
        <v>88</v>
      </c>
      <c r="B13" s="14" t="s">
        <v>89</v>
      </c>
      <c r="C13" s="15">
        <v>5</v>
      </c>
      <c r="D13" s="14" t="s">
        <v>47</v>
      </c>
      <c r="E13" s="15" t="s">
        <v>74</v>
      </c>
      <c r="F13" s="14" t="s">
        <v>90</v>
      </c>
      <c r="G13" s="17" t="s">
        <v>60</v>
      </c>
      <c r="H13" s="14" t="s">
        <v>91</v>
      </c>
    </row>
    <row r="14" spans="1:8">
      <c r="A14" s="14" t="s">
        <v>92</v>
      </c>
      <c r="B14" s="14" t="s">
        <v>93</v>
      </c>
      <c r="C14" s="15">
        <v>3</v>
      </c>
      <c r="D14" s="14" t="s">
        <v>47</v>
      </c>
      <c r="E14" s="15" t="s">
        <v>74</v>
      </c>
      <c r="F14" s="14" t="s">
        <v>90</v>
      </c>
      <c r="G14" s="17" t="s">
        <v>60</v>
      </c>
      <c r="H14" s="14" t="s">
        <v>94</v>
      </c>
    </row>
    <row r="15" spans="1:8">
      <c r="A15" s="14" t="s">
        <v>95</v>
      </c>
      <c r="B15" s="14" t="s">
        <v>96</v>
      </c>
      <c r="C15" s="15">
        <v>3</v>
      </c>
      <c r="D15" s="14" t="s">
        <v>47</v>
      </c>
      <c r="E15" s="15" t="s">
        <v>74</v>
      </c>
      <c r="F15" s="14" t="s">
        <v>97</v>
      </c>
      <c r="G15" s="16" t="s">
        <v>55</v>
      </c>
      <c r="H15" s="14"/>
    </row>
    <row r="16" spans="1:8" ht="23.85">
      <c r="A16" s="14" t="s">
        <v>98</v>
      </c>
      <c r="B16" s="14" t="s">
        <v>99</v>
      </c>
      <c r="C16" s="15">
        <v>2</v>
      </c>
      <c r="D16" s="14" t="s">
        <v>47</v>
      </c>
      <c r="E16" s="15" t="s">
        <v>48</v>
      </c>
      <c r="F16" s="14" t="s">
        <v>100</v>
      </c>
      <c r="G16" s="17" t="s">
        <v>60</v>
      </c>
      <c r="H16" s="14" t="s">
        <v>101</v>
      </c>
    </row>
    <row r="17" spans="1:8">
      <c r="A17" s="14" t="s">
        <v>102</v>
      </c>
      <c r="B17" s="14" t="s">
        <v>103</v>
      </c>
      <c r="C17" s="15">
        <v>2</v>
      </c>
      <c r="D17" s="14" t="s">
        <v>47</v>
      </c>
      <c r="E17" s="15" t="s">
        <v>74</v>
      </c>
      <c r="F17" s="14" t="s">
        <v>104</v>
      </c>
      <c r="G17" s="16" t="s">
        <v>55</v>
      </c>
      <c r="H17" s="14" t="s">
        <v>105</v>
      </c>
    </row>
    <row r="18" spans="1:8" ht="23.85">
      <c r="A18" s="14" t="s">
        <v>106</v>
      </c>
      <c r="B18" s="14" t="s">
        <v>107</v>
      </c>
      <c r="C18" s="15"/>
      <c r="D18" s="14" t="s">
        <v>12</v>
      </c>
      <c r="E18" s="15" t="s">
        <v>108</v>
      </c>
      <c r="F18" s="14" t="s">
        <v>109</v>
      </c>
      <c r="G18" s="16" t="s">
        <v>55</v>
      </c>
      <c r="H18" s="14" t="s">
        <v>110</v>
      </c>
    </row>
    <row r="19" spans="1:8" ht="23.85">
      <c r="A19" s="14" t="s">
        <v>111</v>
      </c>
      <c r="B19" s="14" t="s">
        <v>112</v>
      </c>
      <c r="C19" s="15"/>
      <c r="D19" s="14" t="s">
        <v>12</v>
      </c>
      <c r="E19" s="15" t="s">
        <v>108</v>
      </c>
      <c r="F19" s="14" t="s">
        <v>113</v>
      </c>
      <c r="G19" s="16" t="s">
        <v>55</v>
      </c>
      <c r="H19" s="14" t="s">
        <v>114</v>
      </c>
    </row>
    <row r="20" spans="1:8" ht="23.85">
      <c r="A20" s="14" t="s">
        <v>115</v>
      </c>
      <c r="B20" s="14" t="s">
        <v>116</v>
      </c>
      <c r="C20" s="15"/>
      <c r="D20" s="14" t="s">
        <v>12</v>
      </c>
      <c r="E20" s="15" t="s">
        <v>108</v>
      </c>
      <c r="F20" s="14" t="s">
        <v>117</v>
      </c>
      <c r="G20" s="16" t="s">
        <v>55</v>
      </c>
      <c r="H20" s="14"/>
    </row>
    <row r="21" spans="1:8" ht="23.85">
      <c r="A21" s="14" t="s">
        <v>118</v>
      </c>
      <c r="B21" s="14" t="s">
        <v>119</v>
      </c>
      <c r="C21" s="15"/>
      <c r="D21" s="14" t="s">
        <v>12</v>
      </c>
      <c r="E21" s="15" t="s">
        <v>108</v>
      </c>
      <c r="F21" s="14" t="s">
        <v>120</v>
      </c>
      <c r="G21" s="17" t="s">
        <v>60</v>
      </c>
      <c r="H21" s="14" t="s">
        <v>61</v>
      </c>
    </row>
    <row r="22" spans="1:8" ht="23.85">
      <c r="A22" s="14" t="s">
        <v>121</v>
      </c>
      <c r="B22" s="14" t="s">
        <v>122</v>
      </c>
      <c r="C22" s="15"/>
      <c r="D22" s="14" t="s">
        <v>12</v>
      </c>
      <c r="E22" s="15" t="s">
        <v>108</v>
      </c>
      <c r="F22" s="14" t="s">
        <v>123</v>
      </c>
      <c r="G22" s="16" t="s">
        <v>55</v>
      </c>
      <c r="H22" s="14"/>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1"/>
  <sheetViews>
    <sheetView showGridLines="0" zoomScaleNormal="100" workbookViewId="0"/>
  </sheetViews>
  <sheetFormatPr defaultColWidth="8.7109375" defaultRowHeight="15"/>
  <cols>
    <col min="1" max="1" width="5" customWidth="1"/>
    <col min="2" max="2" width="60" customWidth="1"/>
    <col min="3" max="3" width="12" customWidth="1"/>
    <col min="4" max="4" width="65" customWidth="1"/>
    <col min="5" max="5" width="30" customWidth="1"/>
  </cols>
  <sheetData>
    <row r="1" spans="1:5" ht="16.149999999999999">
      <c r="A1" s="13" t="s">
        <v>124</v>
      </c>
    </row>
    <row r="3" spans="1:5">
      <c r="A3" s="8" t="s">
        <v>125</v>
      </c>
      <c r="B3" s="8" t="s">
        <v>126</v>
      </c>
      <c r="C3" s="8" t="s">
        <v>127</v>
      </c>
      <c r="D3" s="8" t="s">
        <v>128</v>
      </c>
      <c r="E3" s="8" t="s">
        <v>129</v>
      </c>
    </row>
    <row r="4" spans="1:5" ht="42" customHeight="1">
      <c r="A4" s="15">
        <v>1</v>
      </c>
      <c r="B4" s="14" t="s">
        <v>130</v>
      </c>
      <c r="C4" s="15" t="s">
        <v>131</v>
      </c>
      <c r="D4" s="14" t="s">
        <v>132</v>
      </c>
      <c r="E4" s="19"/>
    </row>
    <row r="5" spans="1:5" ht="42" customHeight="1">
      <c r="A5" s="15">
        <v>2</v>
      </c>
      <c r="B5" s="14" t="s">
        <v>133</v>
      </c>
      <c r="C5" s="15" t="s">
        <v>134</v>
      </c>
      <c r="D5" s="14" t="s">
        <v>135</v>
      </c>
      <c r="E5" s="19"/>
    </row>
    <row r="6" spans="1:5" ht="42" customHeight="1">
      <c r="A6" s="15">
        <v>3</v>
      </c>
      <c r="B6" s="14" t="s">
        <v>136</v>
      </c>
      <c r="C6" s="15" t="s">
        <v>137</v>
      </c>
      <c r="D6" s="14" t="s">
        <v>138</v>
      </c>
      <c r="E6" s="19"/>
    </row>
    <row r="7" spans="1:5" ht="42" customHeight="1">
      <c r="A7" s="15">
        <v>4</v>
      </c>
      <c r="B7" s="14" t="s">
        <v>139</v>
      </c>
      <c r="C7" s="15" t="s">
        <v>70</v>
      </c>
      <c r="D7" s="14" t="s">
        <v>140</v>
      </c>
      <c r="E7" s="19"/>
    </row>
    <row r="8" spans="1:5" ht="42" customHeight="1">
      <c r="A8" s="15">
        <v>5</v>
      </c>
      <c r="B8" s="14" t="s">
        <v>141</v>
      </c>
      <c r="C8" s="15" t="s">
        <v>142</v>
      </c>
      <c r="D8" s="14" t="s">
        <v>143</v>
      </c>
      <c r="E8" s="19"/>
    </row>
    <row r="9" spans="1:5" ht="42" customHeight="1">
      <c r="A9" s="15">
        <v>6</v>
      </c>
      <c r="B9" s="14" t="s">
        <v>144</v>
      </c>
      <c r="C9" s="15" t="s">
        <v>145</v>
      </c>
      <c r="D9" s="14" t="s">
        <v>146</v>
      </c>
      <c r="E9" s="19"/>
    </row>
    <row r="10" spans="1:5" ht="42" customHeight="1">
      <c r="A10" s="15">
        <v>7</v>
      </c>
      <c r="B10" s="14" t="s">
        <v>147</v>
      </c>
      <c r="C10" s="15" t="s">
        <v>148</v>
      </c>
      <c r="D10" s="14" t="s">
        <v>149</v>
      </c>
      <c r="E10" s="19"/>
    </row>
    <row r="11" spans="1:5" ht="42" customHeight="1">
      <c r="A11" s="15">
        <v>8</v>
      </c>
      <c r="B11" s="14" t="s">
        <v>150</v>
      </c>
      <c r="C11" s="15" t="s">
        <v>151</v>
      </c>
      <c r="D11" s="14" t="s">
        <v>152</v>
      </c>
      <c r="E11" s="19"/>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45"/>
  <sheetViews>
    <sheetView showGridLines="0" topLeftCell="A14" zoomScaleNormal="100" workbookViewId="0"/>
  </sheetViews>
  <sheetFormatPr defaultColWidth="8.7109375" defaultRowHeight="15"/>
  <cols>
    <col min="1" max="1" width="16" customWidth="1"/>
    <col min="2" max="2" width="13" customWidth="1"/>
    <col min="3" max="3" width="12" customWidth="1"/>
    <col min="4" max="5" width="11" customWidth="1"/>
    <col min="6" max="7" width="9" customWidth="1"/>
    <col min="8" max="8" width="11" customWidth="1"/>
    <col min="9" max="9" width="12" customWidth="1"/>
  </cols>
  <sheetData>
    <row r="1" spans="1:9" ht="19.5" customHeight="1">
      <c r="A1" s="20" t="s">
        <v>153</v>
      </c>
    </row>
    <row r="2" spans="1:9" ht="15" customHeight="1">
      <c r="A2" s="6" t="s">
        <v>154</v>
      </c>
    </row>
    <row r="4" spans="1:9" ht="15" customHeight="1">
      <c r="A4" s="7" t="s">
        <v>155</v>
      </c>
    </row>
    <row r="5" spans="1:9" ht="48" customHeight="1">
      <c r="A5" s="4" t="s">
        <v>156</v>
      </c>
      <c r="B5" s="4"/>
      <c r="C5" s="4"/>
      <c r="D5" s="4"/>
      <c r="E5" s="4"/>
      <c r="F5" s="4"/>
      <c r="G5" s="4"/>
      <c r="H5" s="4"/>
      <c r="I5" s="4"/>
    </row>
    <row r="7" spans="1:9" ht="15" customHeight="1">
      <c r="A7" s="7" t="s">
        <v>157</v>
      </c>
    </row>
    <row r="8" spans="1:9" ht="27.75" customHeight="1">
      <c r="A8" s="21" t="s">
        <v>28</v>
      </c>
      <c r="B8" s="3" t="s">
        <v>158</v>
      </c>
      <c r="C8" s="3"/>
      <c r="D8" s="3"/>
      <c r="E8" s="3"/>
      <c r="F8" s="3"/>
      <c r="G8" s="3"/>
      <c r="H8" s="3"/>
      <c r="I8" s="3"/>
    </row>
    <row r="9" spans="1:9" ht="27.75" customHeight="1">
      <c r="A9" s="22" t="s">
        <v>29</v>
      </c>
      <c r="B9" s="3" t="s">
        <v>159</v>
      </c>
      <c r="C9" s="3"/>
      <c r="D9" s="3"/>
      <c r="E9" s="3"/>
      <c r="F9" s="3"/>
      <c r="G9" s="3"/>
      <c r="H9" s="3"/>
      <c r="I9" s="3"/>
    </row>
    <row r="10" spans="1:9" ht="27.75" customHeight="1">
      <c r="A10" s="23" t="s">
        <v>30</v>
      </c>
      <c r="B10" s="3" t="s">
        <v>160</v>
      </c>
      <c r="C10" s="3"/>
      <c r="D10" s="3"/>
      <c r="E10" s="3"/>
      <c r="F10" s="3"/>
      <c r="G10" s="3"/>
      <c r="H10" s="3"/>
      <c r="I10" s="3"/>
    </row>
    <row r="11" spans="1:9" ht="27.75" customHeight="1">
      <c r="A11" s="24" t="s">
        <v>161</v>
      </c>
      <c r="B11" s="3" t="s">
        <v>162</v>
      </c>
      <c r="C11" s="3"/>
      <c r="D11" s="3"/>
      <c r="E11" s="3"/>
      <c r="F11" s="3"/>
      <c r="G11" s="3"/>
      <c r="H11" s="3"/>
      <c r="I11" s="3"/>
    </row>
    <row r="13" spans="1:9" ht="15" customHeight="1">
      <c r="A13" s="7" t="s">
        <v>163</v>
      </c>
    </row>
    <row r="14" spans="1:9" ht="39" customHeight="1">
      <c r="A14" s="25" t="s">
        <v>164</v>
      </c>
      <c r="B14" s="25" t="s">
        <v>165</v>
      </c>
      <c r="C14" s="25" t="s">
        <v>166</v>
      </c>
      <c r="D14" s="25" t="s">
        <v>167</v>
      </c>
      <c r="E14" s="25" t="s">
        <v>168</v>
      </c>
      <c r="F14" s="25" t="s">
        <v>169</v>
      </c>
      <c r="G14" s="25" t="s">
        <v>170</v>
      </c>
      <c r="H14" s="25" t="s">
        <v>171</v>
      </c>
      <c r="I14" s="25" t="s">
        <v>172</v>
      </c>
    </row>
    <row r="15" spans="1:9" ht="15" customHeight="1">
      <c r="A15" s="21" t="s">
        <v>28</v>
      </c>
      <c r="B15" s="10">
        <f>SUMIFS(Backlog!$K:$K,Backlog!$C:$C,$A15,Backlog!$O:$O,"Devis",Backlog!$B:$B,"Sous-tâche")</f>
        <v>97</v>
      </c>
      <c r="C15" s="10">
        <f>SUMIFS(Backlog!$K:$K,Backlog!$C:$C,$A15,Backlog!$O:$O,"À valider",Backlog!$B:$B,"Sous-tâche")</f>
        <v>91</v>
      </c>
      <c r="D15" s="10">
        <f>B15+C15</f>
        <v>188</v>
      </c>
      <c r="E15" s="12">
        <f>IF(D15=0,0,C15/D15)</f>
        <v>0.48404255319148937</v>
      </c>
      <c r="F15" s="11">
        <f>COUNTIFS(Backlog!$C:$C,$A15,Backlog!$B:$B,"Epic")</f>
        <v>11</v>
      </c>
      <c r="G15" s="11">
        <f>COUNTIFS(Backlog!$C:$C,$A15,Backlog!$B:$B,"Story")</f>
        <v>44</v>
      </c>
      <c r="H15" s="11">
        <f>COUNTIFS(Backlog!$C:$C,$A15,Backlog!$B:$B,"Sous-tâche")</f>
        <v>112</v>
      </c>
      <c r="I15" s="10">
        <f>SUMIFS(Backlog!$K:$K,Backlog!$C:$C,$A15,Backlog!$H:$H,"Front Web",Backlog!$B:$B,"Sous-tâche")</f>
        <v>29</v>
      </c>
    </row>
    <row r="16" spans="1:9" ht="15" customHeight="1">
      <c r="A16" s="22" t="s">
        <v>29</v>
      </c>
      <c r="B16" s="10">
        <f>SUMIFS(Backlog!$K:$K,Backlog!$C:$C,$A16,Backlog!$O:$O,"Devis",Backlog!$B:$B,"Sous-tâche")</f>
        <v>10</v>
      </c>
      <c r="C16" s="10">
        <f>SUMIFS(Backlog!$K:$K,Backlog!$C:$C,$A16,Backlog!$O:$O,"À valider",Backlog!$B:$B,"Sous-tâche")</f>
        <v>21</v>
      </c>
      <c r="D16" s="10">
        <f>B16+C16</f>
        <v>31</v>
      </c>
      <c r="E16" s="12">
        <f>IF(D16=0,0,C16/D16)</f>
        <v>0.67741935483870963</v>
      </c>
      <c r="F16" s="11">
        <f>COUNTIFS(Backlog!$C:$C,$A16,Backlog!$B:$B,"Epic")</f>
        <v>3</v>
      </c>
      <c r="G16" s="11">
        <f>COUNTIFS(Backlog!$C:$C,$A16,Backlog!$B:$B,"Story")</f>
        <v>10</v>
      </c>
      <c r="H16" s="11">
        <f>COUNTIFS(Backlog!$C:$C,$A16,Backlog!$B:$B,"Sous-tâche")</f>
        <v>25</v>
      </c>
      <c r="I16" s="10">
        <f>SUMIFS(Backlog!$K:$K,Backlog!$C:$C,$A16,Backlog!$H:$H,"Front Web",Backlog!$B:$B,"Sous-tâche")</f>
        <v>6</v>
      </c>
    </row>
    <row r="17" spans="1:9" ht="15" customHeight="1">
      <c r="A17" s="23" t="s">
        <v>30</v>
      </c>
      <c r="B17" s="10">
        <f>SUMIFS(Backlog!$K:$K,Backlog!$C:$C,$A17,Backlog!$O:$O,"Devis",Backlog!$B:$B,"Sous-tâche")</f>
        <v>83</v>
      </c>
      <c r="C17" s="10">
        <f>SUMIFS(Backlog!$K:$K,Backlog!$C:$C,$A17,Backlog!$O:$O,"À valider",Backlog!$B:$B,"Sous-tâche")</f>
        <v>7.5</v>
      </c>
      <c r="D17" s="10">
        <f>B17+C17</f>
        <v>90.5</v>
      </c>
      <c r="E17" s="12">
        <f>IF(D17=0,0,C17/D17)</f>
        <v>8.2872928176795577E-2</v>
      </c>
      <c r="F17" s="11">
        <f>COUNTIFS(Backlog!$C:$C,$A17,Backlog!$B:$B,"Epic")</f>
        <v>6</v>
      </c>
      <c r="G17" s="11">
        <f>COUNTIFS(Backlog!$C:$C,$A17,Backlog!$B:$B,"Story")</f>
        <v>20</v>
      </c>
      <c r="H17" s="11">
        <f>COUNTIFS(Backlog!$C:$C,$A17,Backlog!$B:$B,"Sous-tâche")</f>
        <v>55</v>
      </c>
      <c r="I17" s="10">
        <f>SUMIFS(Backlog!$K:$K,Backlog!$C:$C,$A17,Backlog!$H:$H,"Front Web",Backlog!$B:$B,"Sous-tâche")</f>
        <v>3.5</v>
      </c>
    </row>
    <row r="18" spans="1:9" ht="15" customHeight="1">
      <c r="A18" s="26" t="s">
        <v>173</v>
      </c>
      <c r="B18" s="26">
        <f>SUM(B15:B17)</f>
        <v>190</v>
      </c>
      <c r="C18" s="26">
        <f>SUM(C15:C17)</f>
        <v>119.5</v>
      </c>
      <c r="D18" s="26">
        <f>SUM(D15:D17)</f>
        <v>309.5</v>
      </c>
      <c r="E18" s="27">
        <f>IF(D18=0,0,C18/D18)</f>
        <v>0.38610662358642972</v>
      </c>
      <c r="F18" s="26">
        <f>SUM(F15:F17)</f>
        <v>20</v>
      </c>
      <c r="G18" s="26">
        <f>SUM(G15:G17)</f>
        <v>74</v>
      </c>
      <c r="H18" s="26">
        <f>SUM(H15:H17)</f>
        <v>192</v>
      </c>
      <c r="I18" s="26">
        <f>SUM(I15:I17)</f>
        <v>38.5</v>
      </c>
    </row>
    <row r="19" spans="1:9" ht="15" customHeight="1">
      <c r="A19" s="9" t="s">
        <v>174</v>
      </c>
      <c r="B19" s="28">
        <v>190</v>
      </c>
      <c r="C19" s="3" t="str">
        <f>"Contrôle : "&amp;IF(B18=B19,"OK","écart "&amp;TEXT(B18-B19,"0.0"))</f>
        <v>Contrôle : OK</v>
      </c>
      <c r="D19" s="3"/>
      <c r="E19" s="3"/>
    </row>
    <row r="20" spans="1:9" ht="15" customHeight="1">
      <c r="A20" s="6" t="s">
        <v>175</v>
      </c>
    </row>
    <row r="22" spans="1:9" ht="15" customHeight="1">
      <c r="A22" s="7" t="s">
        <v>176</v>
      </c>
    </row>
    <row r="23" spans="1:9" ht="39" customHeight="1">
      <c r="A23" s="25" t="s">
        <v>177</v>
      </c>
      <c r="B23" s="25" t="s">
        <v>28</v>
      </c>
      <c r="C23" s="25" t="s">
        <v>29</v>
      </c>
      <c r="D23" s="25" t="s">
        <v>30</v>
      </c>
      <c r="E23" s="25" t="s">
        <v>178</v>
      </c>
      <c r="F23" s="25" t="s">
        <v>179</v>
      </c>
    </row>
    <row r="24" spans="1:9" ht="15" customHeight="1">
      <c r="A24" s="29" t="s">
        <v>11</v>
      </c>
      <c r="B24" s="10">
        <f>SUMIFS(Backlog!$K:$K,Backlog!$C:$C,"Lot 1",Backlog!$I:$I,$A24,Backlog!$B:$B,"Sous-tâche")</f>
        <v>76</v>
      </c>
      <c r="C24" s="10">
        <f>SUMIFS(Backlog!$K:$K,Backlog!$C:$C,"Lot 2",Backlog!$I:$I,$A24,Backlog!$B:$B,"Sous-tâche")</f>
        <v>17</v>
      </c>
      <c r="D24" s="10">
        <f>SUMIFS(Backlog!$K:$K,Backlog!$C:$C,"Lot 3",Backlog!$I:$I,$A24,Backlog!$B:$B,"Sous-tâche")</f>
        <v>9.5</v>
      </c>
      <c r="E24" s="30">
        <f>SUM(B24:D24)</f>
        <v>102.5</v>
      </c>
      <c r="F24" s="15">
        <f>COUNTIFS(Backlog!$I:$I,$A24,Backlog!$B:$B,"Sous-tâche")</f>
        <v>59</v>
      </c>
    </row>
    <row r="25" spans="1:9" ht="15" customHeight="1">
      <c r="A25" s="22" t="s">
        <v>13</v>
      </c>
      <c r="B25" s="10">
        <f>SUMIFS(Backlog!$K:$K,Backlog!$C:$C,"Lot 1",Backlog!$I:$I,$A25,Backlog!$B:$B,"Sous-tâche")</f>
        <v>89.5</v>
      </c>
      <c r="C25" s="10">
        <f>SUMIFS(Backlog!$K:$K,Backlog!$C:$C,"Lot 2",Backlog!$I:$I,$A25,Backlog!$B:$B,"Sous-tâche")</f>
        <v>14</v>
      </c>
      <c r="D25" s="10">
        <f>SUMIFS(Backlog!$K:$K,Backlog!$C:$C,"Lot 3",Backlog!$I:$I,$A25,Backlog!$B:$B,"Sous-tâche")</f>
        <v>21.5</v>
      </c>
      <c r="E25" s="30">
        <f>SUM(B25:D25)</f>
        <v>125</v>
      </c>
      <c r="F25" s="15">
        <f>COUNTIFS(Backlog!$I:$I,$A25,Backlog!$B:$B,"Sous-tâche")</f>
        <v>90</v>
      </c>
    </row>
    <row r="26" spans="1:9" ht="15" customHeight="1">
      <c r="A26" s="31" t="s">
        <v>15</v>
      </c>
      <c r="B26" s="10">
        <f>SUMIFS(Backlog!$K:$K,Backlog!$C:$C,"Lot 1",Backlog!$I:$I,$A26,Backlog!$B:$B,"Sous-tâche")</f>
        <v>0</v>
      </c>
      <c r="C26" s="10">
        <f>SUMIFS(Backlog!$K:$K,Backlog!$C:$C,"Lot 2",Backlog!$I:$I,$A26,Backlog!$B:$B,"Sous-tâche")</f>
        <v>0</v>
      </c>
      <c r="D26" s="10">
        <f>SUMIFS(Backlog!$K:$K,Backlog!$C:$C,"Lot 3",Backlog!$I:$I,$A26,Backlog!$B:$B,"Sous-tâche")</f>
        <v>40</v>
      </c>
      <c r="E26" s="30">
        <f>SUM(B26:D26)</f>
        <v>40</v>
      </c>
      <c r="F26" s="15">
        <f>COUNTIFS(Backlog!$I:$I,$A26,Backlog!$B:$B,"Sous-tâche")</f>
        <v>21</v>
      </c>
    </row>
    <row r="27" spans="1:9" ht="15" customHeight="1">
      <c r="A27" s="32" t="s">
        <v>17</v>
      </c>
      <c r="B27" s="10">
        <f>SUMIFS(Backlog!$K:$K,Backlog!$C:$C,"Lot 1",Backlog!$I:$I,$A27,Backlog!$B:$B,"Sous-tâche")</f>
        <v>22.5</v>
      </c>
      <c r="C27" s="10">
        <f>SUMIFS(Backlog!$K:$K,Backlog!$C:$C,"Lot 2",Backlog!$I:$I,$A27,Backlog!$B:$B,"Sous-tâche")</f>
        <v>0</v>
      </c>
      <c r="D27" s="10">
        <f>SUMIFS(Backlog!$K:$K,Backlog!$C:$C,"Lot 3",Backlog!$I:$I,$A27,Backlog!$B:$B,"Sous-tâche")</f>
        <v>19.5</v>
      </c>
      <c r="E27" s="30">
        <f>SUM(B27:D27)</f>
        <v>42</v>
      </c>
      <c r="F27" s="15">
        <f>COUNTIFS(Backlog!$I:$I,$A27,Backlog!$B:$B,"Sous-tâche")</f>
        <v>22</v>
      </c>
    </row>
    <row r="28" spans="1:9" ht="15" customHeight="1">
      <c r="A28" s="26" t="s">
        <v>173</v>
      </c>
      <c r="B28" s="26">
        <f>SUM(B24:B27)</f>
        <v>188</v>
      </c>
      <c r="C28" s="26">
        <f>SUM(C24:C27)</f>
        <v>31</v>
      </c>
      <c r="D28" s="26">
        <f>SUM(D24:D27)</f>
        <v>90.5</v>
      </c>
      <c r="E28" s="26">
        <f>SUM(E24:E27)</f>
        <v>309.5</v>
      </c>
      <c r="F28" s="26">
        <f>SUM(F24:F27)</f>
        <v>192</v>
      </c>
    </row>
    <row r="30" spans="1:9" ht="15" customHeight="1">
      <c r="A30" s="7" t="s">
        <v>180</v>
      </c>
    </row>
    <row r="31" spans="1:9" ht="15" customHeight="1">
      <c r="A31" s="9" t="s">
        <v>181</v>
      </c>
      <c r="B31" s="33">
        <f>Sprints!O22</f>
        <v>46527</v>
      </c>
    </row>
    <row r="32" spans="1:9" ht="15" customHeight="1">
      <c r="A32" s="9" t="s">
        <v>182</v>
      </c>
      <c r="B32" s="34">
        <f>Sprints!B7</f>
        <v>46444</v>
      </c>
    </row>
    <row r="33" spans="1:9" ht="15" customHeight="1">
      <c r="A33" s="9" t="s">
        <v>183</v>
      </c>
      <c r="B33" s="2" t="str">
        <f>Sprints!D28</f>
        <v>RETARD — voir leviers ci-dessous</v>
      </c>
      <c r="C33" s="2"/>
      <c r="D33" s="2"/>
      <c r="E33" s="2"/>
    </row>
    <row r="34" spans="1:9" ht="15" customHeight="1">
      <c r="A34" s="77" t="s">
        <v>184</v>
      </c>
      <c r="B34" s="77"/>
      <c r="C34" s="77"/>
      <c r="D34" s="77"/>
      <c r="E34" s="77"/>
      <c r="F34" s="77"/>
      <c r="G34" s="77"/>
      <c r="H34" s="77"/>
      <c r="I34" s="77"/>
    </row>
    <row r="35" spans="1:9" ht="15" customHeight="1">
      <c r="A35" s="77" t="s">
        <v>185</v>
      </c>
      <c r="B35" s="77"/>
      <c r="C35" s="77"/>
      <c r="D35" s="77"/>
      <c r="E35" s="77"/>
      <c r="F35" s="77"/>
      <c r="G35" s="77"/>
      <c r="H35" s="77"/>
      <c r="I35" s="77"/>
    </row>
    <row r="36" spans="1:9" ht="15" customHeight="1">
      <c r="A36" s="77" t="s">
        <v>186</v>
      </c>
      <c r="B36" s="77"/>
      <c r="C36" s="77"/>
      <c r="D36" s="77"/>
      <c r="E36" s="77"/>
      <c r="F36" s="77"/>
      <c r="G36" s="77"/>
      <c r="H36" s="77"/>
      <c r="I36" s="77"/>
    </row>
    <row r="37" spans="1:9" ht="15" customHeight="1">
      <c r="A37" s="77" t="s">
        <v>187</v>
      </c>
      <c r="B37" s="77"/>
      <c r="C37" s="77"/>
      <c r="D37" s="77"/>
      <c r="E37" s="77"/>
      <c r="F37" s="77"/>
      <c r="G37" s="77"/>
      <c r="H37" s="77"/>
      <c r="I37" s="77"/>
    </row>
    <row r="39" spans="1:9" ht="15" customHeight="1">
      <c r="A39" s="7" t="s">
        <v>188</v>
      </c>
    </row>
    <row r="40" spans="1:9" ht="15" customHeight="1">
      <c r="A40" s="77" t="s">
        <v>189</v>
      </c>
      <c r="B40" s="77"/>
      <c r="C40" s="77"/>
      <c r="D40" s="77"/>
      <c r="E40" s="77"/>
      <c r="F40" s="77"/>
      <c r="G40" s="77"/>
      <c r="H40" s="77"/>
      <c r="I40" s="77"/>
    </row>
    <row r="41" spans="1:9" ht="15" customHeight="1">
      <c r="A41" s="77" t="s">
        <v>190</v>
      </c>
      <c r="B41" s="77"/>
      <c r="C41" s="77"/>
      <c r="D41" s="77"/>
      <c r="E41" s="77"/>
      <c r="F41" s="77"/>
      <c r="G41" s="77"/>
      <c r="H41" s="77"/>
      <c r="I41" s="77"/>
    </row>
    <row r="42" spans="1:9" ht="15" customHeight="1">
      <c r="A42" s="77" t="s">
        <v>191</v>
      </c>
      <c r="B42" s="77"/>
      <c r="C42" s="77"/>
      <c r="D42" s="77"/>
      <c r="E42" s="77"/>
      <c r="F42" s="77"/>
      <c r="G42" s="77"/>
      <c r="H42" s="77"/>
      <c r="I42" s="77"/>
    </row>
    <row r="43" spans="1:9" ht="15" customHeight="1">
      <c r="A43" s="77" t="s">
        <v>192</v>
      </c>
      <c r="B43" s="77"/>
      <c r="C43" s="77"/>
      <c r="D43" s="77"/>
      <c r="E43" s="77"/>
      <c r="F43" s="77"/>
      <c r="G43" s="77"/>
      <c r="H43" s="77"/>
      <c r="I43" s="77"/>
    </row>
    <row r="44" spans="1:9" ht="15" customHeight="1">
      <c r="A44" s="77" t="s">
        <v>193</v>
      </c>
      <c r="B44" s="77"/>
      <c r="C44" s="77"/>
      <c r="D44" s="77"/>
      <c r="E44" s="77"/>
      <c r="F44" s="77"/>
      <c r="G44" s="77"/>
      <c r="H44" s="77"/>
      <c r="I44" s="77"/>
    </row>
    <row r="45" spans="1:9" ht="15" customHeight="1">
      <c r="A45" s="77" t="s">
        <v>194</v>
      </c>
      <c r="B45" s="77"/>
      <c r="C45" s="77"/>
      <c r="D45" s="77"/>
      <c r="E45" s="77"/>
      <c r="F45" s="77"/>
      <c r="G45" s="77"/>
      <c r="H45" s="77"/>
      <c r="I45" s="77"/>
    </row>
  </sheetData>
  <mergeCells count="17">
    <mergeCell ref="A44:I44"/>
    <mergeCell ref="A45:I45"/>
    <mergeCell ref="A37:I37"/>
    <mergeCell ref="A40:I40"/>
    <mergeCell ref="A41:I41"/>
    <mergeCell ref="A42:I42"/>
    <mergeCell ref="A43:I43"/>
    <mergeCell ref="C19:E19"/>
    <mergeCell ref="B33:E33"/>
    <mergeCell ref="A34:I34"/>
    <mergeCell ref="A35:I35"/>
    <mergeCell ref="A36:I36"/>
    <mergeCell ref="A5:I5"/>
    <mergeCell ref="B8:I8"/>
    <mergeCell ref="B9:I9"/>
    <mergeCell ref="B10:I10"/>
    <mergeCell ref="B11:I1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33"/>
  <sheetViews>
    <sheetView showGridLines="0" zoomScaleNormal="100" workbookViewId="0">
      <pane ySplit="9" topLeftCell="A10" activePane="bottomLeft" state="frozen"/>
      <selection pane="bottomLeft"/>
    </sheetView>
  </sheetViews>
  <sheetFormatPr defaultColWidth="8.7109375" defaultRowHeight="15"/>
  <cols>
    <col min="1" max="1" width="8" customWidth="1"/>
    <col min="2" max="2" width="12" customWidth="1"/>
    <col min="3" max="3" width="30" customWidth="1"/>
    <col min="4" max="4" width="55" customWidth="1"/>
    <col min="5" max="5" width="10" customWidth="1"/>
    <col min="6" max="7" width="9" customWidth="1"/>
    <col min="8" max="8" width="11" customWidth="1"/>
    <col min="9" max="9" width="9" customWidth="1"/>
    <col min="10" max="10" width="10" customWidth="1"/>
    <col min="11" max="11" width="9" customWidth="1"/>
    <col min="12" max="13" width="10" customWidth="1"/>
    <col min="14" max="15" width="12" customWidth="1"/>
    <col min="16" max="16" width="40" customWidth="1"/>
  </cols>
  <sheetData>
    <row r="1" spans="1:16" ht="17.25" customHeight="1">
      <c r="A1" s="5" t="s">
        <v>195</v>
      </c>
    </row>
    <row r="2" spans="1:16" ht="15" customHeight="1">
      <c r="A2" s="6" t="s">
        <v>196</v>
      </c>
    </row>
    <row r="4" spans="1:16" ht="15" customHeight="1">
      <c r="A4" s="35" t="s">
        <v>197</v>
      </c>
      <c r="B4" s="36">
        <v>46300</v>
      </c>
    </row>
    <row r="5" spans="1:16" ht="15" customHeight="1">
      <c r="A5" s="35" t="s">
        <v>198</v>
      </c>
      <c r="B5" s="37">
        <v>1</v>
      </c>
    </row>
    <row r="6" spans="1:16" ht="15" customHeight="1">
      <c r="A6" s="35" t="s">
        <v>199</v>
      </c>
      <c r="B6" s="38">
        <v>1</v>
      </c>
      <c r="C6" s="6" t="s">
        <v>200</v>
      </c>
    </row>
    <row r="7" spans="1:16" ht="15" customHeight="1">
      <c r="A7" s="35" t="s">
        <v>201</v>
      </c>
      <c r="B7" s="36">
        <v>46444</v>
      </c>
      <c r="C7" s="6" t="s">
        <v>202</v>
      </c>
    </row>
    <row r="9" spans="1:16" ht="51.75" customHeight="1">
      <c r="A9" s="25" t="s">
        <v>203</v>
      </c>
      <c r="B9" s="25" t="s">
        <v>164</v>
      </c>
      <c r="C9" s="25" t="s">
        <v>204</v>
      </c>
      <c r="D9" s="25" t="s">
        <v>205</v>
      </c>
      <c r="E9" s="25" t="s">
        <v>206</v>
      </c>
      <c r="F9" s="25" t="s">
        <v>207</v>
      </c>
      <c r="G9" s="25" t="s">
        <v>208</v>
      </c>
      <c r="H9" s="25" t="s">
        <v>209</v>
      </c>
      <c r="I9" s="25" t="s">
        <v>210</v>
      </c>
      <c r="J9" s="25" t="s">
        <v>211</v>
      </c>
      <c r="K9" s="25" t="s">
        <v>167</v>
      </c>
      <c r="L9" s="25" t="s">
        <v>212</v>
      </c>
      <c r="M9" s="25" t="s">
        <v>213</v>
      </c>
      <c r="N9" s="25" t="s">
        <v>214</v>
      </c>
      <c r="O9" s="25" t="s">
        <v>215</v>
      </c>
      <c r="P9" s="25" t="s">
        <v>170</v>
      </c>
    </row>
    <row r="10" spans="1:16" ht="45" customHeight="1">
      <c r="A10" s="21" t="s">
        <v>20</v>
      </c>
      <c r="B10" s="17" t="s">
        <v>28</v>
      </c>
      <c r="C10" s="21" t="s">
        <v>216</v>
      </c>
      <c r="D10" s="14" t="s">
        <v>217</v>
      </c>
      <c r="E10" s="10">
        <f>F10+G10</f>
        <v>6.5</v>
      </c>
      <c r="F10" s="39">
        <f>SUMIFS(Backlog!$K:$K,Backlog!$N:$N,$A10,Backlog!$H:$H,"Front Mobile",Backlog!$B:$B,"Sous-tâche")</f>
        <v>6.5</v>
      </c>
      <c r="G10" s="39">
        <f>SUMIFS(Backlog!$K:$K,Backlog!$N:$N,$A10,Backlog!$H:$H,"Front Web",Backlog!$B:$B,"Sous-tâche")</f>
        <v>0</v>
      </c>
      <c r="H10" s="10">
        <f>SUMIFS(Backlog!$K:$K,Backlog!$N:$N,$A10,Backlog!$H:$H,"Back",Backlog!$B:$B,"Sous-tâche")</f>
        <v>12</v>
      </c>
      <c r="I10" s="10">
        <f>SUMIFS(Backlog!$K:$K,Backlog!$N:$N,$A10,Backlog!$H:$H,"IA",Backlog!$B:$B,"Sous-tâche")</f>
        <v>0</v>
      </c>
      <c r="J10" s="10">
        <f>SUMIFS(Backlog!$K:$K,Backlog!$N:$N,$A10,Backlog!$H:$H,"DevOps",Backlog!$B:$B,"Sous-tâche")</f>
        <v>7</v>
      </c>
      <c r="K10" s="10">
        <f>E10+H10+I10+J10</f>
        <v>25.5</v>
      </c>
      <c r="L10" s="30">
        <f>MAX(E10,H10,I10,J10)</f>
        <v>12</v>
      </c>
      <c r="M10" s="40">
        <f>ROUNDUP(L10/$B$6,0)+$B$5</f>
        <v>13</v>
      </c>
      <c r="N10" s="41">
        <f>WORKDAY($B$4-1,1)</f>
        <v>46300</v>
      </c>
      <c r="O10" s="41">
        <f>WORKDAY(N10,M10-1)</f>
        <v>46316</v>
      </c>
      <c r="P10" s="14" t="s">
        <v>218</v>
      </c>
    </row>
    <row r="11" spans="1:16" ht="45" customHeight="1">
      <c r="A11" s="21" t="s">
        <v>21</v>
      </c>
      <c r="B11" s="17" t="s">
        <v>28</v>
      </c>
      <c r="C11" s="21" t="s">
        <v>219</v>
      </c>
      <c r="D11" s="14" t="s">
        <v>220</v>
      </c>
      <c r="E11" s="10">
        <f>F11+G11</f>
        <v>3.5</v>
      </c>
      <c r="F11" s="39">
        <f>SUMIFS(Backlog!$K:$K,Backlog!$N:$N,$A11,Backlog!$H:$H,"Front Mobile",Backlog!$B:$B,"Sous-tâche")</f>
        <v>3.5</v>
      </c>
      <c r="G11" s="39">
        <f>SUMIFS(Backlog!$K:$K,Backlog!$N:$N,$A11,Backlog!$H:$H,"Front Web",Backlog!$B:$B,"Sous-tâche")</f>
        <v>0</v>
      </c>
      <c r="H11" s="10">
        <f>SUMIFS(Backlog!$K:$K,Backlog!$N:$N,$A11,Backlog!$H:$H,"Back",Backlog!$B:$B,"Sous-tâche")</f>
        <v>16.5</v>
      </c>
      <c r="I11" s="10">
        <f>SUMIFS(Backlog!$K:$K,Backlog!$N:$N,$A11,Backlog!$H:$H,"IA",Backlog!$B:$B,"Sous-tâche")</f>
        <v>0</v>
      </c>
      <c r="J11" s="10">
        <f>SUMIFS(Backlog!$K:$K,Backlog!$N:$N,$A11,Backlog!$H:$H,"DevOps",Backlog!$B:$B,"Sous-tâche")</f>
        <v>6.5</v>
      </c>
      <c r="K11" s="10">
        <f>E11+H11+I11+J11</f>
        <v>26.5</v>
      </c>
      <c r="L11" s="30">
        <f>MAX(E11,H11,I11,J11)</f>
        <v>16.5</v>
      </c>
      <c r="M11" s="40">
        <f>ROUNDUP(L11/$B$6,0)+$B$5</f>
        <v>18</v>
      </c>
      <c r="N11" s="41">
        <f>WORKDAY(O10,1)</f>
        <v>46317</v>
      </c>
      <c r="O11" s="41">
        <f>WORKDAY(N11,M11-1)</f>
        <v>46342</v>
      </c>
      <c r="P11" s="14" t="s">
        <v>221</v>
      </c>
    </row>
    <row r="12" spans="1:16" ht="45" customHeight="1">
      <c r="A12" s="21" t="s">
        <v>22</v>
      </c>
      <c r="B12" s="17" t="s">
        <v>28</v>
      </c>
      <c r="C12" s="21" t="s">
        <v>222</v>
      </c>
      <c r="D12" s="14" t="s">
        <v>223</v>
      </c>
      <c r="E12" s="10">
        <f>F12+G12</f>
        <v>9.5</v>
      </c>
      <c r="F12" s="39">
        <f>SUMIFS(Backlog!$K:$K,Backlog!$N:$N,$A12,Backlog!$H:$H,"Front Mobile",Backlog!$B:$B,"Sous-tâche")</f>
        <v>9.5</v>
      </c>
      <c r="G12" s="39">
        <f>SUMIFS(Backlog!$K:$K,Backlog!$N:$N,$A12,Backlog!$H:$H,"Front Web",Backlog!$B:$B,"Sous-tâche")</f>
        <v>0</v>
      </c>
      <c r="H12" s="10">
        <f>SUMIFS(Backlog!$K:$K,Backlog!$N:$N,$A12,Backlog!$H:$H,"Back",Backlog!$B:$B,"Sous-tâche")</f>
        <v>14.5</v>
      </c>
      <c r="I12" s="10">
        <f>SUMIFS(Backlog!$K:$K,Backlog!$N:$N,$A12,Backlog!$H:$H,"IA",Backlog!$B:$B,"Sous-tâche")</f>
        <v>0</v>
      </c>
      <c r="J12" s="10">
        <f>SUMIFS(Backlog!$K:$K,Backlog!$N:$N,$A12,Backlog!$H:$H,"DevOps",Backlog!$B:$B,"Sous-tâche")</f>
        <v>6</v>
      </c>
      <c r="K12" s="10">
        <f>E12+H12+I12+J12</f>
        <v>30</v>
      </c>
      <c r="L12" s="30">
        <f>MAX(E12,H12,I12,J12)</f>
        <v>14.5</v>
      </c>
      <c r="M12" s="40">
        <f>ROUNDUP(L12/$B$6,0)+$B$5</f>
        <v>16</v>
      </c>
      <c r="N12" s="41">
        <f>WORKDAY(O11,1)</f>
        <v>46343</v>
      </c>
      <c r="O12" s="41">
        <f>WORKDAY(N12,M12-1)</f>
        <v>46364</v>
      </c>
      <c r="P12" s="14" t="s">
        <v>224</v>
      </c>
    </row>
    <row r="13" spans="1:16" ht="45" customHeight="1">
      <c r="A13" s="21" t="s">
        <v>23</v>
      </c>
      <c r="B13" s="17" t="s">
        <v>28</v>
      </c>
      <c r="C13" s="21" t="s">
        <v>225</v>
      </c>
      <c r="D13" s="14" t="s">
        <v>226</v>
      </c>
      <c r="E13" s="10">
        <f>F13+G13</f>
        <v>7.5</v>
      </c>
      <c r="F13" s="39">
        <f>SUMIFS(Backlog!$K:$K,Backlog!$N:$N,$A13,Backlog!$H:$H,"Front Mobile",Backlog!$B:$B,"Sous-tâche")</f>
        <v>7.5</v>
      </c>
      <c r="G13" s="39">
        <f>SUMIFS(Backlog!$K:$K,Backlog!$N:$N,$A13,Backlog!$H:$H,"Front Web",Backlog!$B:$B,"Sous-tâche")</f>
        <v>0</v>
      </c>
      <c r="H13" s="10">
        <f>SUMIFS(Backlog!$K:$K,Backlog!$N:$N,$A13,Backlog!$H:$H,"Back",Backlog!$B:$B,"Sous-tâche")</f>
        <v>14</v>
      </c>
      <c r="I13" s="10">
        <f>SUMIFS(Backlog!$K:$K,Backlog!$N:$N,$A13,Backlog!$H:$H,"IA",Backlog!$B:$B,"Sous-tâche")</f>
        <v>0</v>
      </c>
      <c r="J13" s="10">
        <f>SUMIFS(Backlog!$K:$K,Backlog!$N:$N,$A13,Backlog!$H:$H,"DevOps",Backlog!$B:$B,"Sous-tâche")</f>
        <v>0</v>
      </c>
      <c r="K13" s="10">
        <f>E13+H13+I13+J13</f>
        <v>21.5</v>
      </c>
      <c r="L13" s="30">
        <f>MAX(E13,H13,I13,J13)</f>
        <v>14</v>
      </c>
      <c r="M13" s="40">
        <f>ROUNDUP(L13/$B$6,0)+$B$5</f>
        <v>15</v>
      </c>
      <c r="N13" s="41">
        <f>WORKDAY(O12,1)</f>
        <v>46365</v>
      </c>
      <c r="O13" s="41">
        <f>WORKDAY(N13,M13-1)</f>
        <v>46385</v>
      </c>
      <c r="P13" s="14" t="s">
        <v>227</v>
      </c>
    </row>
    <row r="14" spans="1:16" ht="45" customHeight="1">
      <c r="A14" s="21" t="s">
        <v>24</v>
      </c>
      <c r="B14" s="17" t="s">
        <v>28</v>
      </c>
      <c r="C14" s="21" t="s">
        <v>228</v>
      </c>
      <c r="D14" s="14" t="s">
        <v>229</v>
      </c>
      <c r="E14" s="10">
        <f>F14+G14</f>
        <v>9.5</v>
      </c>
      <c r="F14" s="39">
        <f>SUMIFS(Backlog!$K:$K,Backlog!$N:$N,$A14,Backlog!$H:$H,"Front Mobile",Backlog!$B:$B,"Sous-tâche")</f>
        <v>9.5</v>
      </c>
      <c r="G14" s="39">
        <f>SUMIFS(Backlog!$K:$K,Backlog!$N:$N,$A14,Backlog!$H:$H,"Front Web",Backlog!$B:$B,"Sous-tâche")</f>
        <v>0</v>
      </c>
      <c r="H14" s="10">
        <f>SUMIFS(Backlog!$K:$K,Backlog!$N:$N,$A14,Backlog!$H:$H,"Back",Backlog!$B:$B,"Sous-tâche")</f>
        <v>12.5</v>
      </c>
      <c r="I14" s="10">
        <f>SUMIFS(Backlog!$K:$K,Backlog!$N:$N,$A14,Backlog!$H:$H,"IA",Backlog!$B:$B,"Sous-tâche")</f>
        <v>0</v>
      </c>
      <c r="J14" s="10">
        <f>SUMIFS(Backlog!$K:$K,Backlog!$N:$N,$A14,Backlog!$H:$H,"DevOps",Backlog!$B:$B,"Sous-tâche")</f>
        <v>0</v>
      </c>
      <c r="K14" s="10">
        <f>E14+H14+I14+J14</f>
        <v>22</v>
      </c>
      <c r="L14" s="30">
        <f>MAX(E14,H14,I14,J14)</f>
        <v>12.5</v>
      </c>
      <c r="M14" s="40">
        <f>ROUNDUP(L14/$B$6,0)+$B$5</f>
        <v>14</v>
      </c>
      <c r="N14" s="41">
        <f>WORKDAY(O13,1)</f>
        <v>46386</v>
      </c>
      <c r="O14" s="41">
        <f>WORKDAY(N14,M14-1)</f>
        <v>46405</v>
      </c>
      <c r="P14" s="14" t="s">
        <v>230</v>
      </c>
    </row>
    <row r="15" spans="1:16" ht="45" customHeight="1">
      <c r="A15" s="21" t="s">
        <v>231</v>
      </c>
      <c r="B15" s="17" t="s">
        <v>28</v>
      </c>
      <c r="C15" s="21" t="s">
        <v>232</v>
      </c>
      <c r="D15" s="14" t="s">
        <v>233</v>
      </c>
      <c r="E15" s="10">
        <f>F15+G15</f>
        <v>9</v>
      </c>
      <c r="F15" s="39">
        <f>SUMIFS(Backlog!$K:$K,Backlog!$N:$N,$A15,Backlog!$H:$H,"Front Mobile",Backlog!$B:$B,"Sous-tâche")</f>
        <v>6</v>
      </c>
      <c r="G15" s="39">
        <f>SUMIFS(Backlog!$K:$K,Backlog!$N:$N,$A15,Backlog!$H:$H,"Front Web",Backlog!$B:$B,"Sous-tâche")</f>
        <v>3</v>
      </c>
      <c r="H15" s="10">
        <f>SUMIFS(Backlog!$K:$K,Backlog!$N:$N,$A15,Backlog!$H:$H,"Back",Backlog!$B:$B,"Sous-tâche")</f>
        <v>12</v>
      </c>
      <c r="I15" s="10">
        <f>SUMIFS(Backlog!$K:$K,Backlog!$N:$N,$A15,Backlog!$H:$H,"IA",Backlog!$B:$B,"Sous-tâche")</f>
        <v>2.5</v>
      </c>
      <c r="J15" s="10">
        <f>SUMIFS(Backlog!$K:$K,Backlog!$N:$N,$A15,Backlog!$H:$H,"DevOps",Backlog!$B:$B,"Sous-tâche")</f>
        <v>0.5</v>
      </c>
      <c r="K15" s="10">
        <f>E15+H15+I15+J15</f>
        <v>24</v>
      </c>
      <c r="L15" s="30">
        <f>MAX(E15,H15,I15,J15)</f>
        <v>12</v>
      </c>
      <c r="M15" s="40">
        <f>ROUNDUP(L15/$B$6,0)+$B$5</f>
        <v>13</v>
      </c>
      <c r="N15" s="41">
        <f>WORKDAY(O14,1)</f>
        <v>46406</v>
      </c>
      <c r="O15" s="41">
        <f>WORKDAY(N15,M15-1)</f>
        <v>46422</v>
      </c>
      <c r="P15" s="14" t="s">
        <v>234</v>
      </c>
    </row>
    <row r="16" spans="1:16" ht="45" customHeight="1">
      <c r="A16" s="21" t="s">
        <v>25</v>
      </c>
      <c r="B16" s="17" t="s">
        <v>28</v>
      </c>
      <c r="C16" s="21" t="s">
        <v>235</v>
      </c>
      <c r="D16" s="14" t="s">
        <v>236</v>
      </c>
      <c r="E16" s="10">
        <f>F16+G16</f>
        <v>7.5</v>
      </c>
      <c r="F16" s="39">
        <f>SUMIFS(Backlog!$K:$K,Backlog!$N:$N,$A16,Backlog!$H:$H,"Front Mobile",Backlog!$B:$B,"Sous-tâche")</f>
        <v>4.5</v>
      </c>
      <c r="G16" s="39">
        <f>SUMIFS(Backlog!$K:$K,Backlog!$N:$N,$A16,Backlog!$H:$H,"Front Web",Backlog!$B:$B,"Sous-tâche")</f>
        <v>3</v>
      </c>
      <c r="H16" s="10">
        <f>SUMIFS(Backlog!$K:$K,Backlog!$N:$N,$A16,Backlog!$H:$H,"Back",Backlog!$B:$B,"Sous-tâche")</f>
        <v>12</v>
      </c>
      <c r="I16" s="10">
        <f>SUMIFS(Backlog!$K:$K,Backlog!$N:$N,$A16,Backlog!$H:$H,"IA",Backlog!$B:$B,"Sous-tâche")</f>
        <v>5.5</v>
      </c>
      <c r="J16" s="10">
        <f>SUMIFS(Backlog!$K:$K,Backlog!$N:$N,$A16,Backlog!$H:$H,"DevOps",Backlog!$B:$B,"Sous-tâche")</f>
        <v>1.5</v>
      </c>
      <c r="K16" s="10">
        <f>E16+H16+I16+J16</f>
        <v>26.5</v>
      </c>
      <c r="L16" s="30">
        <f>MAX(E16,H16,I16,J16)</f>
        <v>12</v>
      </c>
      <c r="M16" s="40">
        <f>ROUNDUP(L16/$B$6,0)+$B$5</f>
        <v>13</v>
      </c>
      <c r="N16" s="41">
        <f>WORKDAY(O15,1)</f>
        <v>46423</v>
      </c>
      <c r="O16" s="41">
        <f>WORKDAY(N16,M16-1)</f>
        <v>46441</v>
      </c>
      <c r="P16" s="14" t="s">
        <v>237</v>
      </c>
    </row>
    <row r="17" spans="1:16" ht="45" customHeight="1">
      <c r="A17" s="22" t="s">
        <v>238</v>
      </c>
      <c r="B17" s="42" t="s">
        <v>29</v>
      </c>
      <c r="C17" s="22" t="s">
        <v>239</v>
      </c>
      <c r="D17" s="14" t="s">
        <v>240</v>
      </c>
      <c r="E17" s="10">
        <f>F17+G17</f>
        <v>11</v>
      </c>
      <c r="F17" s="39">
        <f>SUMIFS(Backlog!$K:$K,Backlog!$N:$N,$A17,Backlog!$H:$H,"Front Mobile",Backlog!$B:$B,"Sous-tâche")</f>
        <v>11</v>
      </c>
      <c r="G17" s="39">
        <f>SUMIFS(Backlog!$K:$K,Backlog!$N:$N,$A17,Backlog!$H:$H,"Front Web",Backlog!$B:$B,"Sous-tâche")</f>
        <v>0</v>
      </c>
      <c r="H17" s="10">
        <f>SUMIFS(Backlog!$K:$K,Backlog!$N:$N,$A17,Backlog!$H:$H,"Back",Backlog!$B:$B,"Sous-tâche")</f>
        <v>14</v>
      </c>
      <c r="I17" s="10">
        <f>SUMIFS(Backlog!$K:$K,Backlog!$N:$N,$A17,Backlog!$H:$H,"IA",Backlog!$B:$B,"Sous-tâche")</f>
        <v>0</v>
      </c>
      <c r="J17" s="10">
        <f>SUMIFS(Backlog!$K:$K,Backlog!$N:$N,$A17,Backlog!$H:$H,"DevOps",Backlog!$B:$B,"Sous-tâche")</f>
        <v>0</v>
      </c>
      <c r="K17" s="10">
        <f>E17+H17+I17+J17</f>
        <v>25</v>
      </c>
      <c r="L17" s="30">
        <f>MAX(E17,H17,I17,J17)</f>
        <v>14</v>
      </c>
      <c r="M17" s="40">
        <f>ROUNDUP(L17/$B$6,0)+$B$5</f>
        <v>15</v>
      </c>
      <c r="N17" s="41">
        <f>WORKDAY(O16,1)</f>
        <v>46442</v>
      </c>
      <c r="O17" s="41">
        <f>WORKDAY(N17,M17-1)</f>
        <v>46462</v>
      </c>
      <c r="P17" s="14" t="s">
        <v>241</v>
      </c>
    </row>
    <row r="18" spans="1:16" ht="45" customHeight="1">
      <c r="A18" s="24" t="s">
        <v>242</v>
      </c>
      <c r="B18" s="43" t="s">
        <v>243</v>
      </c>
      <c r="C18" s="24" t="s">
        <v>244</v>
      </c>
      <c r="D18" s="14" t="s">
        <v>245</v>
      </c>
      <c r="E18" s="10">
        <f>F18+G18</f>
        <v>8.5</v>
      </c>
      <c r="F18" s="39">
        <f>SUMIFS(Backlog!$K:$K,Backlog!$N:$N,$A18,Backlog!$H:$H,"Front Mobile",Backlog!$B:$B,"Sous-tâche")</f>
        <v>1.5</v>
      </c>
      <c r="G18" s="39">
        <f>SUMIFS(Backlog!$K:$K,Backlog!$N:$N,$A18,Backlog!$H:$H,"Front Web",Backlog!$B:$B,"Sous-tâche")</f>
        <v>7</v>
      </c>
      <c r="H18" s="10">
        <f>SUMIFS(Backlog!$K:$K,Backlog!$N:$N,$A18,Backlog!$H:$H,"Back",Backlog!$B:$B,"Sous-tâche")</f>
        <v>2</v>
      </c>
      <c r="I18" s="10">
        <f>SUMIFS(Backlog!$K:$K,Backlog!$N:$N,$A18,Backlog!$H:$H,"IA",Backlog!$B:$B,"Sous-tâche")</f>
        <v>6.5</v>
      </c>
      <c r="J18" s="10">
        <f>SUMIFS(Backlog!$K:$K,Backlog!$N:$N,$A18,Backlog!$H:$H,"DevOps",Backlog!$B:$B,"Sous-tâche")</f>
        <v>1</v>
      </c>
      <c r="K18" s="10">
        <f>E18+H18+I18+J18</f>
        <v>18</v>
      </c>
      <c r="L18" s="30">
        <f>MAX(E18,H18,I18,J18)</f>
        <v>8.5</v>
      </c>
      <c r="M18" s="40">
        <f>ROUNDUP(L18/$B$6,0)+$B$5</f>
        <v>10</v>
      </c>
      <c r="N18" s="41">
        <f>WORKDAY(O17,1)</f>
        <v>46463</v>
      </c>
      <c r="O18" s="41">
        <f>WORKDAY(N18,M18-1)</f>
        <v>46476</v>
      </c>
      <c r="P18" s="14" t="s">
        <v>246</v>
      </c>
    </row>
    <row r="19" spans="1:16" ht="45" customHeight="1">
      <c r="A19" s="24" t="s">
        <v>247</v>
      </c>
      <c r="B19" s="43" t="s">
        <v>243</v>
      </c>
      <c r="C19" s="24" t="s">
        <v>248</v>
      </c>
      <c r="D19" s="14" t="s">
        <v>249</v>
      </c>
      <c r="E19" s="10">
        <f>F19+G19</f>
        <v>11</v>
      </c>
      <c r="F19" s="39">
        <f>SUMIFS(Backlog!$K:$K,Backlog!$N:$N,$A19,Backlog!$H:$H,"Front Mobile",Backlog!$B:$B,"Sous-tâche")</f>
        <v>4.5</v>
      </c>
      <c r="G19" s="39">
        <f>SUMIFS(Backlog!$K:$K,Backlog!$N:$N,$A19,Backlog!$H:$H,"Front Web",Backlog!$B:$B,"Sous-tâche")</f>
        <v>6.5</v>
      </c>
      <c r="H19" s="10">
        <f>SUMIFS(Backlog!$K:$K,Backlog!$N:$N,$A19,Backlog!$H:$H,"Back",Backlog!$B:$B,"Sous-tâche")</f>
        <v>7.5</v>
      </c>
      <c r="I19" s="10">
        <f>SUMIFS(Backlog!$K:$K,Backlog!$N:$N,$A19,Backlog!$H:$H,"IA",Backlog!$B:$B,"Sous-tâche")</f>
        <v>11</v>
      </c>
      <c r="J19" s="10">
        <f>SUMIFS(Backlog!$K:$K,Backlog!$N:$N,$A19,Backlog!$H:$H,"DevOps",Backlog!$B:$B,"Sous-tâche")</f>
        <v>0</v>
      </c>
      <c r="K19" s="10">
        <f>E19+H19+I19+J19</f>
        <v>29.5</v>
      </c>
      <c r="L19" s="30">
        <f>MAX(E19,H19,I19,J19)</f>
        <v>11</v>
      </c>
      <c r="M19" s="40">
        <f>ROUNDUP(L19/$B$6,0)+$B$5</f>
        <v>12</v>
      </c>
      <c r="N19" s="41">
        <f>WORKDAY(O18,1)</f>
        <v>46477</v>
      </c>
      <c r="O19" s="41">
        <f>WORKDAY(N19,M19-1)</f>
        <v>46492</v>
      </c>
      <c r="P19" s="14" t="s">
        <v>250</v>
      </c>
    </row>
    <row r="20" spans="1:16" ht="45" customHeight="1">
      <c r="A20" s="24" t="s">
        <v>26</v>
      </c>
      <c r="B20" s="43" t="s">
        <v>243</v>
      </c>
      <c r="C20" s="24" t="s">
        <v>251</v>
      </c>
      <c r="D20" s="14" t="s">
        <v>252</v>
      </c>
      <c r="E20" s="10">
        <f>F20+G20</f>
        <v>10</v>
      </c>
      <c r="F20" s="39">
        <f>SUMIFS(Backlog!$K:$K,Backlog!$N:$N,$A20,Backlog!$H:$H,"Front Mobile",Backlog!$B:$B,"Sous-tâche")</f>
        <v>0</v>
      </c>
      <c r="G20" s="39">
        <f>SUMIFS(Backlog!$K:$K,Backlog!$N:$N,$A20,Backlog!$H:$H,"Front Web",Backlog!$B:$B,"Sous-tâche")</f>
        <v>10</v>
      </c>
      <c r="H20" s="10">
        <f>SUMIFS(Backlog!$K:$K,Backlog!$N:$N,$A20,Backlog!$H:$H,"Back",Backlog!$B:$B,"Sous-tâche")</f>
        <v>6.5</v>
      </c>
      <c r="I20" s="10">
        <f>SUMIFS(Backlog!$K:$K,Backlog!$N:$N,$A20,Backlog!$H:$H,"IA",Backlog!$B:$B,"Sous-tâche")</f>
        <v>12.5</v>
      </c>
      <c r="J20" s="10">
        <f>SUMIFS(Backlog!$K:$K,Backlog!$N:$N,$A20,Backlog!$H:$H,"DevOps",Backlog!$B:$B,"Sous-tâche")</f>
        <v>10</v>
      </c>
      <c r="K20" s="10">
        <f>E20+H20+I20+J20</f>
        <v>39</v>
      </c>
      <c r="L20" s="30">
        <f>MAX(E20,H20,I20,J20)</f>
        <v>12.5</v>
      </c>
      <c r="M20" s="40">
        <f>ROUNDUP(L20/$B$6,0)+$B$5</f>
        <v>14</v>
      </c>
      <c r="N20" s="41">
        <f>WORKDAY(O19,1)</f>
        <v>46493</v>
      </c>
      <c r="O20" s="41">
        <f>WORKDAY(N20,M20-1)</f>
        <v>46512</v>
      </c>
      <c r="P20" s="14" t="s">
        <v>253</v>
      </c>
    </row>
    <row r="21" spans="1:16" ht="45" customHeight="1">
      <c r="A21" s="24" t="s">
        <v>254</v>
      </c>
      <c r="B21" s="43" t="s">
        <v>255</v>
      </c>
      <c r="C21" s="24" t="s">
        <v>256</v>
      </c>
      <c r="D21" s="14" t="s">
        <v>257</v>
      </c>
      <c r="E21" s="10">
        <f>F21+G21</f>
        <v>9</v>
      </c>
      <c r="F21" s="39">
        <f>SUMIFS(Backlog!$K:$K,Backlog!$N:$N,$A21,Backlog!$H:$H,"Front Mobile",Backlog!$B:$B,"Sous-tâche")</f>
        <v>0</v>
      </c>
      <c r="G21" s="39">
        <f>SUMIFS(Backlog!$K:$K,Backlog!$N:$N,$A21,Backlog!$H:$H,"Front Web",Backlog!$B:$B,"Sous-tâche")</f>
        <v>9</v>
      </c>
      <c r="H21" s="10">
        <f>SUMIFS(Backlog!$K:$K,Backlog!$N:$N,$A21,Backlog!$H:$H,"Back",Backlog!$B:$B,"Sous-tâche")</f>
        <v>1.5</v>
      </c>
      <c r="I21" s="10">
        <f>SUMIFS(Backlog!$K:$K,Backlog!$N:$N,$A21,Backlog!$H:$H,"IA",Backlog!$B:$B,"Sous-tâche")</f>
        <v>2</v>
      </c>
      <c r="J21" s="10">
        <f>SUMIFS(Backlog!$K:$K,Backlog!$N:$N,$A21,Backlog!$H:$H,"DevOps",Backlog!$B:$B,"Sous-tâche")</f>
        <v>9.5</v>
      </c>
      <c r="K21" s="10">
        <f>E21+H21+I21+J21</f>
        <v>22</v>
      </c>
      <c r="L21" s="30">
        <f>MAX(E21,H21,I21,J21)</f>
        <v>9.5</v>
      </c>
      <c r="M21" s="40">
        <f>ROUNDUP(L21/$B$6,0)+$B$5</f>
        <v>11</v>
      </c>
      <c r="N21" s="41">
        <f>WORKDAY(O20,1)</f>
        <v>46513</v>
      </c>
      <c r="O21" s="41">
        <f>WORKDAY(N21,M21-1)</f>
        <v>46527</v>
      </c>
      <c r="P21" s="14" t="s">
        <v>258</v>
      </c>
    </row>
    <row r="22" spans="1:16" ht="15" customHeight="1">
      <c r="A22" s="26" t="s">
        <v>173</v>
      </c>
      <c r="B22" s="26"/>
      <c r="C22" s="26"/>
      <c r="D22" s="26"/>
      <c r="E22" s="26">
        <f>SUM(E10:E21)</f>
        <v>102.5</v>
      </c>
      <c r="F22" s="26">
        <f>SUM(F10:F21)</f>
        <v>64</v>
      </c>
      <c r="G22" s="26">
        <f>SUM(G10:G21)</f>
        <v>38.5</v>
      </c>
      <c r="H22" s="26">
        <f>SUM(H10:H21)</f>
        <v>125</v>
      </c>
      <c r="I22" s="26">
        <f>SUM(I10:I21)</f>
        <v>40</v>
      </c>
      <c r="J22" s="26">
        <f>SUM(J10:J21)</f>
        <v>42</v>
      </c>
      <c r="K22" s="26">
        <f>SUM(K10:K21)</f>
        <v>309.5</v>
      </c>
      <c r="L22" s="26">
        <f>SUM(L10:L21)</f>
        <v>149</v>
      </c>
      <c r="M22" s="26">
        <f>SUM(M10:M21)</f>
        <v>164</v>
      </c>
      <c r="N22" s="44">
        <f>N10</f>
        <v>46300</v>
      </c>
      <c r="O22" s="44">
        <f>O21</f>
        <v>46527</v>
      </c>
      <c r="P22" s="26"/>
    </row>
    <row r="24" spans="1:16" ht="15" customHeight="1">
      <c r="A24" s="7" t="s">
        <v>259</v>
      </c>
    </row>
    <row r="25" spans="1:16" ht="15" customHeight="1">
      <c r="A25" s="1" t="s">
        <v>260</v>
      </c>
      <c r="B25" s="1"/>
      <c r="C25" s="1"/>
      <c r="D25" s="33">
        <f>O22</f>
        <v>46527</v>
      </c>
    </row>
    <row r="26" spans="1:16" ht="15" customHeight="1">
      <c r="A26" s="1" t="s">
        <v>182</v>
      </c>
      <c r="B26" s="1"/>
      <c r="C26" s="1"/>
      <c r="D26" s="33">
        <f>$B$7</f>
        <v>46444</v>
      </c>
    </row>
    <row r="27" spans="1:16" ht="15" customHeight="1">
      <c r="A27" s="1" t="s">
        <v>261</v>
      </c>
      <c r="B27" s="1"/>
      <c r="C27" s="1"/>
      <c r="D27" s="45">
        <f>NETWORKDAYS($B$7,O22)-1</f>
        <v>59</v>
      </c>
    </row>
    <row r="28" spans="1:16" ht="15" customHeight="1">
      <c r="A28" s="1" t="s">
        <v>183</v>
      </c>
      <c r="B28" s="1"/>
      <c r="C28" s="1"/>
      <c r="D28" s="9" t="str">
        <f>IF(O22&lt;=$B$7,"Dans les temps","RETARD — voir leviers ci-dessous")</f>
        <v>RETARD — voir leviers ci-dessous</v>
      </c>
    </row>
    <row r="30" spans="1:16" ht="15" customHeight="1">
      <c r="A30" s="7" t="s">
        <v>262</v>
      </c>
    </row>
    <row r="31" spans="1:16" ht="34.5" customHeight="1">
      <c r="E31" s="46" t="s">
        <v>263</v>
      </c>
      <c r="F31" s="47" t="s">
        <v>264</v>
      </c>
      <c r="G31" s="48" t="s">
        <v>265</v>
      </c>
      <c r="H31" s="49" t="s">
        <v>266</v>
      </c>
    </row>
    <row r="32" spans="1:16" ht="15" customHeight="1">
      <c r="E32" s="12">
        <f>E22/(M22-$B$5*12)</f>
        <v>0.67434210526315785</v>
      </c>
      <c r="F32" s="12">
        <f>H22/(M22-$B$5*12)</f>
        <v>0.82236842105263153</v>
      </c>
      <c r="G32" s="12">
        <f>I22/(M22-$B$5*12)</f>
        <v>0.26315789473684209</v>
      </c>
      <c r="H32" s="12">
        <f>J22/(M22-$B$5*12)</f>
        <v>0.27631578947368424</v>
      </c>
    </row>
    <row r="33" spans="1:1" ht="15" customHeight="1">
      <c r="A33" s="6" t="s">
        <v>267</v>
      </c>
    </row>
  </sheetData>
  <mergeCells count="4">
    <mergeCell ref="A25:C25"/>
    <mergeCell ref="A26:C26"/>
    <mergeCell ref="A27:C27"/>
    <mergeCell ref="A28:C28"/>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287"/>
  <sheetViews>
    <sheetView showGridLines="0" zoomScaleNormal="100" workbookViewId="0">
      <pane xSplit="2" ySplit="1" topLeftCell="C25" activePane="bottomRight" state="frozen"/>
      <selection pane="bottomRight"/>
      <selection pane="bottomLeft" activeCell="A2" sqref="A2"/>
      <selection pane="topRight" activeCell="C1" sqref="C1"/>
    </sheetView>
  </sheetViews>
  <sheetFormatPr defaultColWidth="8.7109375" defaultRowHeight="15"/>
  <cols>
    <col min="1" max="2" width="11" customWidth="1"/>
    <col min="3" max="4" width="7" customWidth="1"/>
    <col min="5" max="5" width="8" customWidth="1"/>
    <col min="6" max="6" width="46" customWidth="1"/>
    <col min="7" max="7" width="70" customWidth="1"/>
    <col min="8" max="8" width="15" customWidth="1"/>
    <col min="9" max="9" width="13" customWidth="1"/>
    <col min="10" max="10" width="16" customWidth="1"/>
    <col min="11" max="11" width="10" customWidth="1"/>
    <col min="12" max="12" width="9" customWidth="1"/>
    <col min="13" max="13" width="10" customWidth="1"/>
    <col min="14" max="14" width="8" customWidth="1"/>
    <col min="15" max="15" width="12" customWidth="1"/>
    <col min="16" max="16" width="26" customWidth="1"/>
    <col min="17" max="17" width="10" customWidth="1"/>
    <col min="18" max="18" width="30" customWidth="1"/>
    <col min="19" max="19" width="22" customWidth="1"/>
    <col min="20" max="20" width="55" customWidth="1"/>
  </cols>
  <sheetData>
    <row r="1" spans="1:20" ht="39" customHeight="1">
      <c r="A1" s="25" t="s">
        <v>268</v>
      </c>
      <c r="B1" s="25" t="s">
        <v>269</v>
      </c>
      <c r="C1" s="25" t="s">
        <v>164</v>
      </c>
      <c r="D1" s="25" t="s">
        <v>270</v>
      </c>
      <c r="E1" s="25" t="s">
        <v>271</v>
      </c>
      <c r="F1" s="25" t="s">
        <v>272</v>
      </c>
      <c r="G1" s="25" t="s">
        <v>273</v>
      </c>
      <c r="H1" s="25" t="s">
        <v>274</v>
      </c>
      <c r="I1" s="25" t="s">
        <v>275</v>
      </c>
      <c r="J1" s="25" t="s">
        <v>276</v>
      </c>
      <c r="K1" s="25" t="s">
        <v>277</v>
      </c>
      <c r="L1" s="25" t="s">
        <v>278</v>
      </c>
      <c r="M1" s="25" t="s">
        <v>279</v>
      </c>
      <c r="N1" s="25" t="s">
        <v>203</v>
      </c>
      <c r="O1" s="25" t="s">
        <v>280</v>
      </c>
      <c r="P1" s="25" t="s">
        <v>281</v>
      </c>
      <c r="Q1" s="25" t="s">
        <v>183</v>
      </c>
      <c r="R1" s="25" t="s">
        <v>282</v>
      </c>
      <c r="S1" s="8" t="s">
        <v>283</v>
      </c>
      <c r="T1" s="8" t="s">
        <v>284</v>
      </c>
    </row>
    <row r="2" spans="1:20" ht="47.25" customHeight="1">
      <c r="A2" s="21" t="s">
        <v>285</v>
      </c>
      <c r="B2" s="21" t="s">
        <v>286</v>
      </c>
      <c r="C2" s="21" t="s">
        <v>28</v>
      </c>
      <c r="D2" s="21" t="s">
        <v>285</v>
      </c>
      <c r="E2" s="21"/>
      <c r="F2" s="21" t="s">
        <v>287</v>
      </c>
      <c r="G2" s="21" t="s">
        <v>288</v>
      </c>
      <c r="H2" s="21"/>
      <c r="I2" s="21"/>
      <c r="J2" s="21"/>
      <c r="K2" s="50">
        <f>SUMIFS($K:$K,$D:$D,A2,$B:$B,"Sous-tâche")</f>
        <v>13</v>
      </c>
      <c r="L2" s="51">
        <f>SUMIFS($L:$L,$D:$D,A2,$B:$B,"Story")</f>
        <v>26</v>
      </c>
      <c r="M2" s="21" t="s">
        <v>289</v>
      </c>
      <c r="N2" s="21"/>
      <c r="O2" s="21"/>
      <c r="P2" s="21" t="s">
        <v>290</v>
      </c>
      <c r="Q2" s="52" t="str">
        <f>IF(COUNTIFS($D:$D,A2,$B:$B,"Sous-tâche")=0,"To Do",IF(COUNTIFS($D:$D,A2,$B:$B,"Sous-tâche",$Q:$Q,"Done")=COUNTIFS($D:$D,A2,$B:$B,"Sous-tâche"),"Done",IF(COUNTIFS($D:$D,A2,$B:$B,"Sous-tâche",$Q:$Q,"To Do")=COUNTIFS($D:$D,A2,$B:$B,"Sous-tâche"),"To Do","In Progress")))</f>
        <v>In Progress</v>
      </c>
      <c r="R2" s="21" t="s">
        <v>291</v>
      </c>
    </row>
    <row r="3" spans="1:20" ht="90.75" customHeight="1">
      <c r="A3" s="53" t="s">
        <v>292</v>
      </c>
      <c r="B3" s="54" t="s">
        <v>293</v>
      </c>
      <c r="C3" s="14" t="s">
        <v>28</v>
      </c>
      <c r="D3" s="14" t="s">
        <v>285</v>
      </c>
      <c r="E3" s="14" t="s">
        <v>285</v>
      </c>
      <c r="F3" s="53" t="s">
        <v>294</v>
      </c>
      <c r="G3" s="14" t="s">
        <v>295</v>
      </c>
      <c r="H3" s="54" t="s">
        <v>296</v>
      </c>
      <c r="I3" s="14" t="s">
        <v>11</v>
      </c>
      <c r="J3" s="14" t="s">
        <v>12</v>
      </c>
      <c r="K3" s="30">
        <f>SUMIFS($K:$K,$E:$E,A3,$B:$B,"Sous-tâche")</f>
        <v>4</v>
      </c>
      <c r="L3" s="55">
        <v>8</v>
      </c>
      <c r="M3" s="14" t="s">
        <v>289</v>
      </c>
      <c r="N3" s="14" t="s">
        <v>20</v>
      </c>
      <c r="O3" s="56" t="s">
        <v>297</v>
      </c>
      <c r="P3" s="14" t="s">
        <v>290</v>
      </c>
      <c r="Q3" s="57" t="str">
        <f>IF(COUNTIFS($E:$E,A3,$B:$B,"Sous-tâche")=0,"To Do",IF(COUNTIFS($E:$E,A3,$B:$B,"Sous-tâche",$Q:$Q,"Done")=COUNTIFS($E:$E,A3,$B:$B,"Sous-tâche"),"Done",IF(COUNTIFS($E:$E,A3,$B:$B,"Sous-tâche",$Q:$Q,"To Do")=COUNTIFS($E:$E,A3,$B:$B,"Sous-tâche"),"To Do","In Progress")))</f>
        <v>In Progress</v>
      </c>
      <c r="R3" s="14" t="s">
        <v>291</v>
      </c>
    </row>
    <row r="4" spans="1:20" ht="15" customHeight="1">
      <c r="A4" s="58" t="s">
        <v>298</v>
      </c>
      <c r="B4" s="58" t="s">
        <v>299</v>
      </c>
      <c r="C4" s="14" t="s">
        <v>28</v>
      </c>
      <c r="D4" s="14" t="s">
        <v>285</v>
      </c>
      <c r="E4" s="14" t="s">
        <v>292</v>
      </c>
      <c r="F4" s="58" t="s">
        <v>300</v>
      </c>
      <c r="G4" s="14"/>
      <c r="H4" s="58" t="s">
        <v>296</v>
      </c>
      <c r="I4" s="14" t="s">
        <v>11</v>
      </c>
      <c r="J4" s="58" t="s">
        <v>12</v>
      </c>
      <c r="K4" s="59">
        <v>3</v>
      </c>
      <c r="L4" s="15"/>
      <c r="M4" s="14" t="s">
        <v>289</v>
      </c>
      <c r="N4" s="14" t="s">
        <v>20</v>
      </c>
      <c r="O4" s="56" t="s">
        <v>297</v>
      </c>
      <c r="P4" s="14"/>
      <c r="Q4" s="60" t="s">
        <v>301</v>
      </c>
      <c r="R4" s="14" t="s">
        <v>291</v>
      </c>
      <c r="S4" s="14" t="s">
        <v>302</v>
      </c>
      <c r="T4" s="14" t="s">
        <v>303</v>
      </c>
    </row>
    <row r="5" spans="1:20" ht="15" customHeight="1">
      <c r="A5" s="58" t="s">
        <v>304</v>
      </c>
      <c r="B5" s="58" t="s">
        <v>299</v>
      </c>
      <c r="C5" s="14" t="s">
        <v>28</v>
      </c>
      <c r="D5" s="14" t="s">
        <v>285</v>
      </c>
      <c r="E5" s="14" t="s">
        <v>292</v>
      </c>
      <c r="F5" s="58" t="s">
        <v>305</v>
      </c>
      <c r="G5" s="14"/>
      <c r="H5" s="58" t="s">
        <v>296</v>
      </c>
      <c r="I5" s="14" t="s">
        <v>11</v>
      </c>
      <c r="J5" s="58" t="s">
        <v>12</v>
      </c>
      <c r="K5" s="59">
        <v>1</v>
      </c>
      <c r="L5" s="15"/>
      <c r="M5" s="14" t="s">
        <v>289</v>
      </c>
      <c r="N5" s="14" t="s">
        <v>20</v>
      </c>
      <c r="O5" s="56" t="s">
        <v>297</v>
      </c>
      <c r="P5" s="14"/>
      <c r="Q5" s="61" t="s">
        <v>306</v>
      </c>
      <c r="R5" s="14" t="s">
        <v>291</v>
      </c>
      <c r="S5" s="14" t="s">
        <v>307</v>
      </c>
      <c r="T5" s="14" t="s">
        <v>308</v>
      </c>
    </row>
    <row r="6" spans="1:20" ht="90.75" customHeight="1">
      <c r="A6" s="53" t="s">
        <v>309</v>
      </c>
      <c r="B6" s="54" t="s">
        <v>293</v>
      </c>
      <c r="C6" s="14" t="s">
        <v>28</v>
      </c>
      <c r="D6" s="14" t="s">
        <v>285</v>
      </c>
      <c r="E6" s="14" t="s">
        <v>285</v>
      </c>
      <c r="F6" s="53" t="s">
        <v>310</v>
      </c>
      <c r="G6" s="14" t="s">
        <v>311</v>
      </c>
      <c r="H6" s="54" t="s">
        <v>17</v>
      </c>
      <c r="I6" s="14" t="s">
        <v>17</v>
      </c>
      <c r="J6" s="14" t="s">
        <v>18</v>
      </c>
      <c r="K6" s="30">
        <f>SUMIFS($K:$K,$E:$E,A6,$B:$B,"Sous-tâche")</f>
        <v>3</v>
      </c>
      <c r="L6" s="55">
        <v>5</v>
      </c>
      <c r="M6" s="14" t="s">
        <v>312</v>
      </c>
      <c r="N6" s="14" t="s">
        <v>21</v>
      </c>
      <c r="O6" s="56" t="s">
        <v>297</v>
      </c>
      <c r="P6" s="14" t="s">
        <v>290</v>
      </c>
      <c r="Q6" s="57" t="str">
        <f>IF(COUNTIFS($E:$E,A6,$B:$B,"Sous-tâche")=0,"To Do",IF(COUNTIFS($E:$E,A6,$B:$B,"Sous-tâche",$Q:$Q,"Done")=COUNTIFS($E:$E,A6,$B:$B,"Sous-tâche"),"Done",IF(COUNTIFS($E:$E,A6,$B:$B,"Sous-tâche",$Q:$Q,"To Do")=COUNTIFS($E:$E,A6,$B:$B,"Sous-tâche"),"To Do","In Progress")))</f>
        <v>To Do</v>
      </c>
      <c r="R6" s="14" t="s">
        <v>291</v>
      </c>
    </row>
    <row r="7" spans="1:20" ht="15" customHeight="1">
      <c r="A7" s="62" t="s">
        <v>313</v>
      </c>
      <c r="B7" s="62" t="s">
        <v>299</v>
      </c>
      <c r="C7" s="14" t="s">
        <v>28</v>
      </c>
      <c r="D7" s="14" t="s">
        <v>285</v>
      </c>
      <c r="E7" s="14" t="s">
        <v>309</v>
      </c>
      <c r="F7" s="62" t="s">
        <v>314</v>
      </c>
      <c r="G7" s="14"/>
      <c r="H7" s="62" t="s">
        <v>17</v>
      </c>
      <c r="I7" s="14" t="s">
        <v>17</v>
      </c>
      <c r="J7" s="62" t="s">
        <v>18</v>
      </c>
      <c r="K7" s="59">
        <v>2</v>
      </c>
      <c r="L7" s="15"/>
      <c r="M7" s="14" t="s">
        <v>312</v>
      </c>
      <c r="N7" s="14" t="s">
        <v>21</v>
      </c>
      <c r="O7" s="56" t="s">
        <v>297</v>
      </c>
      <c r="P7" s="14"/>
      <c r="Q7" s="14" t="s">
        <v>315</v>
      </c>
      <c r="R7" s="14" t="s">
        <v>291</v>
      </c>
    </row>
    <row r="8" spans="1:20" ht="15" customHeight="1">
      <c r="A8" s="62" t="s">
        <v>316</v>
      </c>
      <c r="B8" s="62" t="s">
        <v>299</v>
      </c>
      <c r="C8" s="14" t="s">
        <v>28</v>
      </c>
      <c r="D8" s="14" t="s">
        <v>285</v>
      </c>
      <c r="E8" s="14" t="s">
        <v>309</v>
      </c>
      <c r="F8" s="62" t="s">
        <v>317</v>
      </c>
      <c r="G8" s="14"/>
      <c r="H8" s="62" t="s">
        <v>17</v>
      </c>
      <c r="I8" s="14" t="s">
        <v>17</v>
      </c>
      <c r="J8" s="62" t="s">
        <v>18</v>
      </c>
      <c r="K8" s="59">
        <v>1</v>
      </c>
      <c r="L8" s="15"/>
      <c r="M8" s="14" t="s">
        <v>312</v>
      </c>
      <c r="N8" s="14" t="s">
        <v>21</v>
      </c>
      <c r="O8" s="56" t="s">
        <v>297</v>
      </c>
      <c r="P8" s="14"/>
      <c r="Q8" s="14" t="s">
        <v>315</v>
      </c>
      <c r="R8" s="14" t="s">
        <v>291</v>
      </c>
    </row>
    <row r="9" spans="1:20" ht="90.75" customHeight="1">
      <c r="A9" s="53" t="s">
        <v>318</v>
      </c>
      <c r="B9" s="54" t="s">
        <v>293</v>
      </c>
      <c r="C9" s="14" t="s">
        <v>28</v>
      </c>
      <c r="D9" s="14" t="s">
        <v>285</v>
      </c>
      <c r="E9" s="14" t="s">
        <v>285</v>
      </c>
      <c r="F9" s="53" t="s">
        <v>319</v>
      </c>
      <c r="G9" s="14" t="s">
        <v>320</v>
      </c>
      <c r="H9" s="54" t="s">
        <v>321</v>
      </c>
      <c r="I9" s="14" t="s">
        <v>322</v>
      </c>
      <c r="J9" s="14" t="s">
        <v>18</v>
      </c>
      <c r="K9" s="30">
        <f>SUMIFS($K:$K,$E:$E,A9,$B:$B,"Sous-tâche")</f>
        <v>2.5</v>
      </c>
      <c r="L9" s="55">
        <v>5</v>
      </c>
      <c r="M9" s="14" t="s">
        <v>312</v>
      </c>
      <c r="N9" s="14" t="s">
        <v>25</v>
      </c>
      <c r="O9" s="56" t="s">
        <v>297</v>
      </c>
      <c r="P9" s="14" t="s">
        <v>290</v>
      </c>
      <c r="Q9" s="57" t="str">
        <f>IF(COUNTIFS($E:$E,A9,$B:$B,"Sous-tâche")=0,"To Do",IF(COUNTIFS($E:$E,A9,$B:$B,"Sous-tâche",$Q:$Q,"Done")=COUNTIFS($E:$E,A9,$B:$B,"Sous-tâche"),"Done",IF(COUNTIFS($E:$E,A9,$B:$B,"Sous-tâche",$Q:$Q,"To Do")=COUNTIFS($E:$E,A9,$B:$B,"Sous-tâche"),"To Do","In Progress")))</f>
        <v>To Do</v>
      </c>
      <c r="R9" s="14" t="s">
        <v>291</v>
      </c>
    </row>
    <row r="10" spans="1:20" ht="15" customHeight="1">
      <c r="A10" s="62" t="s">
        <v>323</v>
      </c>
      <c r="B10" s="62" t="s">
        <v>299</v>
      </c>
      <c r="C10" s="14" t="s">
        <v>28</v>
      </c>
      <c r="D10" s="14" t="s">
        <v>285</v>
      </c>
      <c r="E10" s="14" t="s">
        <v>318</v>
      </c>
      <c r="F10" s="62" t="s">
        <v>324</v>
      </c>
      <c r="G10" s="14"/>
      <c r="H10" s="62" t="s">
        <v>17</v>
      </c>
      <c r="I10" s="14" t="s">
        <v>17</v>
      </c>
      <c r="J10" s="62" t="s">
        <v>18</v>
      </c>
      <c r="K10" s="59">
        <v>1.5</v>
      </c>
      <c r="L10" s="15"/>
      <c r="M10" s="14" t="s">
        <v>312</v>
      </c>
      <c r="N10" s="14" t="s">
        <v>25</v>
      </c>
      <c r="O10" s="56" t="s">
        <v>297</v>
      </c>
      <c r="P10" s="14"/>
      <c r="Q10" s="14" t="s">
        <v>315</v>
      </c>
      <c r="R10" s="14" t="s">
        <v>291</v>
      </c>
    </row>
    <row r="11" spans="1:20" ht="15" customHeight="1">
      <c r="A11" s="58" t="s">
        <v>325</v>
      </c>
      <c r="B11" s="58" t="s">
        <v>299</v>
      </c>
      <c r="C11" s="14" t="s">
        <v>28</v>
      </c>
      <c r="D11" s="14" t="s">
        <v>285</v>
      </c>
      <c r="E11" s="14" t="s">
        <v>318</v>
      </c>
      <c r="F11" s="58" t="s">
        <v>326</v>
      </c>
      <c r="G11" s="14"/>
      <c r="H11" s="58" t="s">
        <v>296</v>
      </c>
      <c r="I11" s="14" t="s">
        <v>11</v>
      </c>
      <c r="J11" s="58" t="s">
        <v>12</v>
      </c>
      <c r="K11" s="59">
        <v>1</v>
      </c>
      <c r="L11" s="15"/>
      <c r="M11" s="14" t="s">
        <v>312</v>
      </c>
      <c r="N11" s="14" t="s">
        <v>25</v>
      </c>
      <c r="O11" s="56" t="s">
        <v>297</v>
      </c>
      <c r="P11" s="14"/>
      <c r="Q11" s="14" t="s">
        <v>315</v>
      </c>
      <c r="R11" s="14" t="s">
        <v>291</v>
      </c>
    </row>
    <row r="12" spans="1:20" ht="90.75" customHeight="1">
      <c r="A12" s="53" t="s">
        <v>327</v>
      </c>
      <c r="B12" s="54" t="s">
        <v>293</v>
      </c>
      <c r="C12" s="14" t="s">
        <v>28</v>
      </c>
      <c r="D12" s="14" t="s">
        <v>285</v>
      </c>
      <c r="E12" s="14" t="s">
        <v>285</v>
      </c>
      <c r="F12" s="53" t="s">
        <v>328</v>
      </c>
      <c r="G12" s="14" t="s">
        <v>329</v>
      </c>
      <c r="H12" s="54" t="s">
        <v>330</v>
      </c>
      <c r="I12" s="14" t="s">
        <v>322</v>
      </c>
      <c r="J12" s="14" t="s">
        <v>12</v>
      </c>
      <c r="K12" s="30">
        <f>SUMIFS($K:$K,$E:$E,A12,$B:$B,"Sous-tâche")</f>
        <v>3.5</v>
      </c>
      <c r="L12" s="55">
        <v>8</v>
      </c>
      <c r="M12" s="14" t="s">
        <v>312</v>
      </c>
      <c r="N12" s="14" t="s">
        <v>242</v>
      </c>
      <c r="O12" s="56" t="s">
        <v>297</v>
      </c>
      <c r="P12" s="14" t="s">
        <v>290</v>
      </c>
      <c r="Q12" s="57" t="str">
        <f>IF(COUNTIFS($E:$E,A12,$B:$B,"Sous-tâche")=0,"To Do",IF(COUNTIFS($E:$E,A12,$B:$B,"Sous-tâche",$Q:$Q,"Done")=COUNTIFS($E:$E,A12,$B:$B,"Sous-tâche"),"Done",IF(COUNTIFS($E:$E,A12,$B:$B,"Sous-tâche",$Q:$Q,"To Do")=COUNTIFS($E:$E,A12,$B:$B,"Sous-tâche"),"To Do","In Progress")))</f>
        <v>To Do</v>
      </c>
      <c r="R12" s="14" t="s">
        <v>291</v>
      </c>
    </row>
    <row r="13" spans="1:20" ht="15" customHeight="1">
      <c r="A13" s="63" t="s">
        <v>331</v>
      </c>
      <c r="B13" s="63" t="s">
        <v>299</v>
      </c>
      <c r="C13" s="14" t="s">
        <v>28</v>
      </c>
      <c r="D13" s="14" t="s">
        <v>285</v>
      </c>
      <c r="E13" s="14" t="s">
        <v>327</v>
      </c>
      <c r="F13" s="63" t="s">
        <v>332</v>
      </c>
      <c r="G13" s="14"/>
      <c r="H13" s="63" t="s">
        <v>333</v>
      </c>
      <c r="I13" s="14" t="s">
        <v>11</v>
      </c>
      <c r="J13" s="58" t="s">
        <v>12</v>
      </c>
      <c r="K13" s="59">
        <v>2</v>
      </c>
      <c r="L13" s="15"/>
      <c r="M13" s="14" t="s">
        <v>312</v>
      </c>
      <c r="N13" s="14" t="s">
        <v>242</v>
      </c>
      <c r="O13" s="56" t="s">
        <v>297</v>
      </c>
      <c r="P13" s="14"/>
      <c r="Q13" s="14" t="s">
        <v>315</v>
      </c>
      <c r="R13" s="14" t="s">
        <v>291</v>
      </c>
    </row>
    <row r="14" spans="1:20" ht="15" customHeight="1">
      <c r="A14" s="63" t="s">
        <v>334</v>
      </c>
      <c r="B14" s="63" t="s">
        <v>299</v>
      </c>
      <c r="C14" s="14" t="s">
        <v>28</v>
      </c>
      <c r="D14" s="14" t="s">
        <v>285</v>
      </c>
      <c r="E14" s="14" t="s">
        <v>327</v>
      </c>
      <c r="F14" s="63" t="s">
        <v>335</v>
      </c>
      <c r="G14" s="14"/>
      <c r="H14" s="63" t="s">
        <v>333</v>
      </c>
      <c r="I14" s="14" t="s">
        <v>11</v>
      </c>
      <c r="J14" s="58" t="s">
        <v>12</v>
      </c>
      <c r="K14" s="59">
        <v>0.5</v>
      </c>
      <c r="L14" s="15"/>
      <c r="M14" s="14" t="s">
        <v>312</v>
      </c>
      <c r="N14" s="14" t="s">
        <v>242</v>
      </c>
      <c r="O14" s="56" t="s">
        <v>297</v>
      </c>
      <c r="P14" s="14"/>
      <c r="Q14" s="14" t="s">
        <v>315</v>
      </c>
      <c r="R14" s="14" t="s">
        <v>291</v>
      </c>
    </row>
    <row r="15" spans="1:20" ht="15" customHeight="1">
      <c r="A15" s="62" t="s">
        <v>336</v>
      </c>
      <c r="B15" s="62" t="s">
        <v>299</v>
      </c>
      <c r="C15" s="14" t="s">
        <v>28</v>
      </c>
      <c r="D15" s="14" t="s">
        <v>285</v>
      </c>
      <c r="E15" s="14" t="s">
        <v>327</v>
      </c>
      <c r="F15" s="62" t="s">
        <v>337</v>
      </c>
      <c r="G15" s="14"/>
      <c r="H15" s="62" t="s">
        <v>17</v>
      </c>
      <c r="I15" s="14" t="s">
        <v>17</v>
      </c>
      <c r="J15" s="62" t="s">
        <v>18</v>
      </c>
      <c r="K15" s="59">
        <v>1</v>
      </c>
      <c r="L15" s="15"/>
      <c r="M15" s="14" t="s">
        <v>312</v>
      </c>
      <c r="N15" s="14" t="s">
        <v>242</v>
      </c>
      <c r="O15" s="56" t="s">
        <v>297</v>
      </c>
      <c r="P15" s="14"/>
      <c r="Q15" s="14" t="s">
        <v>315</v>
      </c>
      <c r="R15" s="14" t="s">
        <v>291</v>
      </c>
    </row>
    <row r="16" spans="1:20" ht="30" customHeight="1">
      <c r="A16" s="21" t="s">
        <v>338</v>
      </c>
      <c r="B16" s="21" t="s">
        <v>286</v>
      </c>
      <c r="C16" s="21" t="s">
        <v>28</v>
      </c>
      <c r="D16" s="21" t="s">
        <v>338</v>
      </c>
      <c r="E16" s="21"/>
      <c r="F16" s="21" t="s">
        <v>339</v>
      </c>
      <c r="G16" s="21" t="s">
        <v>340</v>
      </c>
      <c r="H16" s="21"/>
      <c r="I16" s="21"/>
      <c r="J16" s="21"/>
      <c r="K16" s="50">
        <f>SUMIFS($K:$K,$D:$D,A16,$B:$B,"Sous-tâche")</f>
        <v>7</v>
      </c>
      <c r="L16" s="51">
        <f>SUMIFS($L:$L,$D:$D,A16,$B:$B,"Story")</f>
        <v>10</v>
      </c>
      <c r="M16" s="21" t="s">
        <v>289</v>
      </c>
      <c r="N16" s="21"/>
      <c r="O16" s="21"/>
      <c r="P16" s="21" t="s">
        <v>341</v>
      </c>
      <c r="Q16" s="52" t="str">
        <f>IF(COUNTIFS($D:$D,A16,$B:$B,"Sous-tâche")=0,"To Do",IF(COUNTIFS($D:$D,A16,$B:$B,"Sous-tâche",$Q:$Q,"Done")=COUNTIFS($D:$D,A16,$B:$B,"Sous-tâche"),"Done",IF(COUNTIFS($D:$D,A16,$B:$B,"Sous-tâche",$Q:$Q,"To Do")=COUNTIFS($D:$D,A16,$B:$B,"Sous-tâche"),"To Do","In Progress")))</f>
        <v>In Progress</v>
      </c>
      <c r="R16" s="21" t="s">
        <v>342</v>
      </c>
    </row>
    <row r="17" spans="1:20" ht="117" customHeight="1">
      <c r="A17" s="53" t="s">
        <v>343</v>
      </c>
      <c r="B17" s="54" t="s">
        <v>293</v>
      </c>
      <c r="C17" s="14" t="s">
        <v>28</v>
      </c>
      <c r="D17" s="14" t="s">
        <v>338</v>
      </c>
      <c r="E17" s="14" t="s">
        <v>338</v>
      </c>
      <c r="F17" s="53" t="s">
        <v>344</v>
      </c>
      <c r="G17" s="14" t="s">
        <v>345</v>
      </c>
      <c r="H17" s="54" t="s">
        <v>346</v>
      </c>
      <c r="I17" s="14" t="s">
        <v>347</v>
      </c>
      <c r="J17" s="14" t="s">
        <v>47</v>
      </c>
      <c r="K17" s="30">
        <f>SUMIFS($K:$K,$E:$E,A17,$B:$B,"Sous-tâche")</f>
        <v>4</v>
      </c>
      <c r="L17" s="55">
        <v>5</v>
      </c>
      <c r="M17" s="14" t="s">
        <v>289</v>
      </c>
      <c r="N17" s="14" t="s">
        <v>20</v>
      </c>
      <c r="O17" s="14" t="s">
        <v>348</v>
      </c>
      <c r="P17" s="14" t="s">
        <v>341</v>
      </c>
      <c r="Q17" s="57" t="str">
        <f>IF(COUNTIFS($E:$E,A17,$B:$B,"Sous-tâche")=0,"To Do",IF(COUNTIFS($E:$E,A17,$B:$B,"Sous-tâche",$Q:$Q,"Done")=COUNTIFS($E:$E,A17,$B:$B,"Sous-tâche"),"Done",IF(COUNTIFS($E:$E,A17,$B:$B,"Sous-tâche",$Q:$Q,"To Do")=COUNTIFS($E:$E,A17,$B:$B,"Sous-tâche"),"To Do","In Progress")))</f>
        <v>Done</v>
      </c>
      <c r="R17" s="14" t="s">
        <v>342</v>
      </c>
    </row>
    <row r="18" spans="1:20" ht="15" customHeight="1">
      <c r="A18" s="42" t="s">
        <v>54</v>
      </c>
      <c r="B18" s="42" t="s">
        <v>299</v>
      </c>
      <c r="C18" s="14" t="s">
        <v>28</v>
      </c>
      <c r="D18" s="14" t="s">
        <v>338</v>
      </c>
      <c r="E18" s="14" t="s">
        <v>343</v>
      </c>
      <c r="F18" s="42" t="s">
        <v>349</v>
      </c>
      <c r="G18" s="14"/>
      <c r="H18" s="42" t="s">
        <v>13</v>
      </c>
      <c r="I18" s="14" t="s">
        <v>13</v>
      </c>
      <c r="J18" s="42" t="s">
        <v>47</v>
      </c>
      <c r="K18" s="59">
        <v>1.5</v>
      </c>
      <c r="L18" s="15"/>
      <c r="M18" s="14" t="s">
        <v>289</v>
      </c>
      <c r="N18" s="14" t="s">
        <v>20</v>
      </c>
      <c r="O18" s="14" t="s">
        <v>348</v>
      </c>
      <c r="P18" s="14"/>
      <c r="Q18" s="60" t="s">
        <v>301</v>
      </c>
      <c r="R18" s="14" t="s">
        <v>342</v>
      </c>
      <c r="S18" s="14" t="s">
        <v>350</v>
      </c>
      <c r="T18" s="14" t="s">
        <v>351</v>
      </c>
    </row>
    <row r="19" spans="1:20" ht="15" customHeight="1">
      <c r="A19" s="58" t="s">
        <v>352</v>
      </c>
      <c r="B19" s="58" t="s">
        <v>299</v>
      </c>
      <c r="C19" s="14" t="s">
        <v>28</v>
      </c>
      <c r="D19" s="14" t="s">
        <v>338</v>
      </c>
      <c r="E19" s="14" t="s">
        <v>343</v>
      </c>
      <c r="F19" s="58" t="s">
        <v>353</v>
      </c>
      <c r="G19" s="14"/>
      <c r="H19" s="58" t="s">
        <v>296</v>
      </c>
      <c r="I19" s="14" t="s">
        <v>11</v>
      </c>
      <c r="J19" s="58" t="s">
        <v>12</v>
      </c>
      <c r="K19" s="59">
        <v>1</v>
      </c>
      <c r="L19" s="15"/>
      <c r="M19" s="14" t="s">
        <v>289</v>
      </c>
      <c r="N19" s="14" t="s">
        <v>20</v>
      </c>
      <c r="O19" s="14" t="s">
        <v>348</v>
      </c>
      <c r="P19" s="14"/>
      <c r="Q19" s="60" t="s">
        <v>301</v>
      </c>
      <c r="R19" s="14" t="s">
        <v>342</v>
      </c>
      <c r="S19" s="14" t="s">
        <v>354</v>
      </c>
      <c r="T19" s="14" t="s">
        <v>355</v>
      </c>
    </row>
    <row r="20" spans="1:20" ht="15" customHeight="1">
      <c r="A20" s="42" t="s">
        <v>356</v>
      </c>
      <c r="B20" s="42" t="s">
        <v>299</v>
      </c>
      <c r="C20" s="14" t="s">
        <v>28</v>
      </c>
      <c r="D20" s="14" t="s">
        <v>338</v>
      </c>
      <c r="E20" s="14" t="s">
        <v>343</v>
      </c>
      <c r="F20" s="42" t="s">
        <v>357</v>
      </c>
      <c r="G20" s="14"/>
      <c r="H20" s="42" t="s">
        <v>13</v>
      </c>
      <c r="I20" s="14" t="s">
        <v>13</v>
      </c>
      <c r="J20" s="42" t="s">
        <v>47</v>
      </c>
      <c r="K20" s="59">
        <v>0.5</v>
      </c>
      <c r="L20" s="15"/>
      <c r="M20" s="14" t="s">
        <v>289</v>
      </c>
      <c r="N20" s="14" t="s">
        <v>20</v>
      </c>
      <c r="O20" s="14" t="s">
        <v>348</v>
      </c>
      <c r="P20" s="14"/>
      <c r="Q20" s="60" t="s">
        <v>301</v>
      </c>
      <c r="R20" s="14" t="s">
        <v>342</v>
      </c>
      <c r="S20" s="14" t="s">
        <v>358</v>
      </c>
      <c r="T20" s="14" t="s">
        <v>359</v>
      </c>
    </row>
    <row r="21" spans="1:20" ht="103.5" customHeight="1">
      <c r="A21" s="53" t="s">
        <v>134</v>
      </c>
      <c r="B21" s="54" t="s">
        <v>293</v>
      </c>
      <c r="C21" s="14" t="s">
        <v>28</v>
      </c>
      <c r="D21" s="14" t="s">
        <v>338</v>
      </c>
      <c r="E21" s="14" t="s">
        <v>338</v>
      </c>
      <c r="F21" s="53" t="s">
        <v>360</v>
      </c>
      <c r="G21" s="14" t="s">
        <v>361</v>
      </c>
      <c r="H21" s="54" t="s">
        <v>346</v>
      </c>
      <c r="I21" s="14" t="s">
        <v>347</v>
      </c>
      <c r="J21" s="14" t="s">
        <v>47</v>
      </c>
      <c r="K21" s="30">
        <f>SUMIFS($K:$K,$E:$E,A21,$B:$B,"Sous-tâche")</f>
        <v>2</v>
      </c>
      <c r="L21" s="55">
        <v>3</v>
      </c>
      <c r="M21" s="14" t="s">
        <v>312</v>
      </c>
      <c r="N21" s="14" t="s">
        <v>20</v>
      </c>
      <c r="O21" s="14" t="s">
        <v>348</v>
      </c>
      <c r="P21" s="14" t="s">
        <v>341</v>
      </c>
      <c r="Q21" s="57" t="str">
        <f>IF(COUNTIFS($E:$E,A21,$B:$B,"Sous-tâche")=0,"To Do",IF(COUNTIFS($E:$E,A21,$B:$B,"Sous-tâche",$Q:$Q,"Done")=COUNTIFS($E:$E,A21,$B:$B,"Sous-tâche"),"Done",IF(COUNTIFS($E:$E,A21,$B:$B,"Sous-tâche",$Q:$Q,"To Do")=COUNTIFS($E:$E,A21,$B:$B,"Sous-tâche"),"To Do","In Progress")))</f>
        <v>Done</v>
      </c>
      <c r="R21" s="14" t="s">
        <v>342</v>
      </c>
    </row>
    <row r="22" spans="1:20" ht="15" customHeight="1">
      <c r="A22" s="42" t="s">
        <v>65</v>
      </c>
      <c r="B22" s="42" t="s">
        <v>299</v>
      </c>
      <c r="C22" s="14" t="s">
        <v>28</v>
      </c>
      <c r="D22" s="14" t="s">
        <v>338</v>
      </c>
      <c r="E22" s="14" t="s">
        <v>134</v>
      </c>
      <c r="F22" s="42" t="s">
        <v>362</v>
      </c>
      <c r="G22" s="14"/>
      <c r="H22" s="42" t="s">
        <v>13</v>
      </c>
      <c r="I22" s="14" t="s">
        <v>13</v>
      </c>
      <c r="J22" s="42" t="s">
        <v>47</v>
      </c>
      <c r="K22" s="59">
        <v>1</v>
      </c>
      <c r="L22" s="15"/>
      <c r="M22" s="14" t="s">
        <v>312</v>
      </c>
      <c r="N22" s="14" t="s">
        <v>20</v>
      </c>
      <c r="O22" s="14" t="s">
        <v>348</v>
      </c>
      <c r="P22" s="14"/>
      <c r="Q22" s="60" t="s">
        <v>301</v>
      </c>
      <c r="R22" s="14" t="s">
        <v>342</v>
      </c>
      <c r="S22" s="14" t="s">
        <v>62</v>
      </c>
      <c r="T22" s="14" t="s">
        <v>363</v>
      </c>
    </row>
    <row r="23" spans="1:20" ht="15" customHeight="1">
      <c r="A23" s="58" t="s">
        <v>117</v>
      </c>
      <c r="B23" s="58" t="s">
        <v>299</v>
      </c>
      <c r="C23" s="14" t="s">
        <v>28</v>
      </c>
      <c r="D23" s="14" t="s">
        <v>338</v>
      </c>
      <c r="E23" s="14" t="s">
        <v>134</v>
      </c>
      <c r="F23" s="58" t="s">
        <v>364</v>
      </c>
      <c r="G23" s="14"/>
      <c r="H23" s="58" t="s">
        <v>296</v>
      </c>
      <c r="I23" s="14" t="s">
        <v>11</v>
      </c>
      <c r="J23" s="58" t="s">
        <v>12</v>
      </c>
      <c r="K23" s="59">
        <v>0.5</v>
      </c>
      <c r="L23" s="15"/>
      <c r="M23" s="14" t="s">
        <v>312</v>
      </c>
      <c r="N23" s="14" t="s">
        <v>20</v>
      </c>
      <c r="O23" s="14" t="s">
        <v>348</v>
      </c>
      <c r="P23" s="14"/>
      <c r="Q23" s="60" t="s">
        <v>301</v>
      </c>
      <c r="R23" s="14" t="s">
        <v>342</v>
      </c>
      <c r="S23" s="14" t="s">
        <v>365</v>
      </c>
      <c r="T23" s="14" t="s">
        <v>366</v>
      </c>
    </row>
    <row r="24" spans="1:20" ht="15" customHeight="1">
      <c r="A24" s="42" t="s">
        <v>367</v>
      </c>
      <c r="B24" s="42" t="s">
        <v>299</v>
      </c>
      <c r="C24" s="14" t="s">
        <v>28</v>
      </c>
      <c r="D24" s="14" t="s">
        <v>338</v>
      </c>
      <c r="E24" s="14" t="s">
        <v>134</v>
      </c>
      <c r="F24" s="42" t="s">
        <v>368</v>
      </c>
      <c r="G24" s="14"/>
      <c r="H24" s="42" t="s">
        <v>13</v>
      </c>
      <c r="I24" s="14" t="s">
        <v>13</v>
      </c>
      <c r="J24" s="42" t="s">
        <v>47</v>
      </c>
      <c r="K24" s="59">
        <v>0.5</v>
      </c>
      <c r="L24" s="15"/>
      <c r="M24" s="14" t="s">
        <v>312</v>
      </c>
      <c r="N24" s="14" t="s">
        <v>20</v>
      </c>
      <c r="O24" s="14" t="s">
        <v>348</v>
      </c>
      <c r="P24" s="14"/>
      <c r="Q24" s="60" t="s">
        <v>301</v>
      </c>
      <c r="R24" s="14" t="s">
        <v>342</v>
      </c>
      <c r="S24" s="14" t="s">
        <v>102</v>
      </c>
      <c r="T24" s="14" t="s">
        <v>369</v>
      </c>
    </row>
    <row r="25" spans="1:20" ht="103.5" customHeight="1">
      <c r="A25" s="53" t="s">
        <v>370</v>
      </c>
      <c r="B25" s="54" t="s">
        <v>293</v>
      </c>
      <c r="C25" s="14" t="s">
        <v>28</v>
      </c>
      <c r="D25" s="14" t="s">
        <v>338</v>
      </c>
      <c r="E25" s="14" t="s">
        <v>338</v>
      </c>
      <c r="F25" s="53" t="s">
        <v>371</v>
      </c>
      <c r="G25" s="14" t="s">
        <v>372</v>
      </c>
      <c r="H25" s="54" t="s">
        <v>333</v>
      </c>
      <c r="I25" s="14" t="s">
        <v>11</v>
      </c>
      <c r="J25" s="14" t="s">
        <v>12</v>
      </c>
      <c r="K25" s="30">
        <f>SUMIFS($K:$K,$E:$E,A25,$B:$B,"Sous-tâche")</f>
        <v>1</v>
      </c>
      <c r="L25" s="55">
        <v>2</v>
      </c>
      <c r="M25" s="14" t="s">
        <v>289</v>
      </c>
      <c r="N25" s="14" t="s">
        <v>242</v>
      </c>
      <c r="O25" s="56" t="s">
        <v>297</v>
      </c>
      <c r="P25" s="14" t="s">
        <v>341</v>
      </c>
      <c r="Q25" s="57" t="str">
        <f>IF(COUNTIFS($E:$E,A25,$B:$B,"Sous-tâche")=0,"To Do",IF(COUNTIFS($E:$E,A25,$B:$B,"Sous-tâche",$Q:$Q,"Done")=COUNTIFS($E:$E,A25,$B:$B,"Sous-tâche"),"Done",IF(COUNTIFS($E:$E,A25,$B:$B,"Sous-tâche",$Q:$Q,"To Do")=COUNTIFS($E:$E,A25,$B:$B,"Sous-tâche"),"To Do","In Progress")))</f>
        <v>To Do</v>
      </c>
      <c r="R25" s="14" t="s">
        <v>342</v>
      </c>
    </row>
    <row r="26" spans="1:20" ht="15" customHeight="1">
      <c r="A26" s="63" t="s">
        <v>373</v>
      </c>
      <c r="B26" s="63" t="s">
        <v>299</v>
      </c>
      <c r="C26" s="14" t="s">
        <v>28</v>
      </c>
      <c r="D26" s="14" t="s">
        <v>338</v>
      </c>
      <c r="E26" s="14" t="s">
        <v>370</v>
      </c>
      <c r="F26" s="63" t="s">
        <v>374</v>
      </c>
      <c r="G26" s="14"/>
      <c r="H26" s="63" t="s">
        <v>333</v>
      </c>
      <c r="I26" s="14" t="s">
        <v>11</v>
      </c>
      <c r="J26" s="58" t="s">
        <v>12</v>
      </c>
      <c r="K26" s="59">
        <v>1</v>
      </c>
      <c r="L26" s="15"/>
      <c r="M26" s="14" t="s">
        <v>289</v>
      </c>
      <c r="N26" s="14" t="s">
        <v>242</v>
      </c>
      <c r="O26" s="56" t="s">
        <v>297</v>
      </c>
      <c r="P26" s="14"/>
      <c r="Q26" s="14" t="s">
        <v>315</v>
      </c>
      <c r="R26" s="14" t="s">
        <v>342</v>
      </c>
    </row>
    <row r="27" spans="1:20" ht="30" customHeight="1">
      <c r="A27" s="21" t="s">
        <v>375</v>
      </c>
      <c r="B27" s="21" t="s">
        <v>286</v>
      </c>
      <c r="C27" s="21" t="s">
        <v>28</v>
      </c>
      <c r="D27" s="21" t="s">
        <v>375</v>
      </c>
      <c r="E27" s="21"/>
      <c r="F27" s="21" t="s">
        <v>376</v>
      </c>
      <c r="G27" s="21" t="s">
        <v>377</v>
      </c>
      <c r="H27" s="21"/>
      <c r="I27" s="21"/>
      <c r="J27" s="21"/>
      <c r="K27" s="50">
        <f>SUMIFS($K:$K,$D:$D,A27,$B:$B,"Sous-tâche")</f>
        <v>3</v>
      </c>
      <c r="L27" s="51">
        <f>SUMIFS($L:$L,$D:$D,A27,$B:$B,"Story")</f>
        <v>6</v>
      </c>
      <c r="M27" s="21" t="s">
        <v>289</v>
      </c>
      <c r="N27" s="21"/>
      <c r="O27" s="21"/>
      <c r="P27" s="21" t="s">
        <v>338</v>
      </c>
      <c r="Q27" s="52" t="str">
        <f>IF(COUNTIFS($D:$D,A27,$B:$B,"Sous-tâche")=0,"To Do",IF(COUNTIFS($D:$D,A27,$B:$B,"Sous-tâche",$Q:$Q,"Done")=COUNTIFS($D:$D,A27,$B:$B,"Sous-tâche"),"Done",IF(COUNTIFS($D:$D,A27,$B:$B,"Sous-tâche",$Q:$Q,"To Do")=COUNTIFS($D:$D,A27,$B:$B,"Sous-tâche"),"To Do","In Progress")))</f>
        <v>In Progress</v>
      </c>
      <c r="R27" s="21" t="s">
        <v>342</v>
      </c>
    </row>
    <row r="28" spans="1:20" ht="103.5" customHeight="1">
      <c r="A28" s="53" t="s">
        <v>378</v>
      </c>
      <c r="B28" s="54" t="s">
        <v>293</v>
      </c>
      <c r="C28" s="14" t="s">
        <v>28</v>
      </c>
      <c r="D28" s="14" t="s">
        <v>375</v>
      </c>
      <c r="E28" s="14" t="s">
        <v>375</v>
      </c>
      <c r="F28" s="53" t="s">
        <v>379</v>
      </c>
      <c r="G28" s="14" t="s">
        <v>380</v>
      </c>
      <c r="H28" s="54" t="s">
        <v>346</v>
      </c>
      <c r="I28" s="14" t="s">
        <v>347</v>
      </c>
      <c r="J28" s="14" t="s">
        <v>47</v>
      </c>
      <c r="K28" s="30">
        <f>SUMIFS($K:$K,$E:$E,A28,$B:$B,"Sous-tâche")</f>
        <v>2.5</v>
      </c>
      <c r="L28" s="55">
        <v>5</v>
      </c>
      <c r="M28" s="14" t="s">
        <v>289</v>
      </c>
      <c r="N28" s="14" t="s">
        <v>20</v>
      </c>
      <c r="O28" s="56" t="s">
        <v>381</v>
      </c>
      <c r="P28" s="14" t="s">
        <v>338</v>
      </c>
      <c r="Q28" s="57" t="str">
        <f>IF(COUNTIFS($E:$E,A28,$B:$B,"Sous-tâche")=0,"To Do",IF(COUNTIFS($E:$E,A28,$B:$B,"Sous-tâche",$Q:$Q,"Done")=COUNTIFS($E:$E,A28,$B:$B,"Sous-tâche"),"Done",IF(COUNTIFS($E:$E,A28,$B:$B,"Sous-tâche",$Q:$Q,"To Do")=COUNTIFS($E:$E,A28,$B:$B,"Sous-tâche"),"To Do","In Progress")))</f>
        <v>In Progress</v>
      </c>
      <c r="R28" s="14" t="s">
        <v>342</v>
      </c>
    </row>
    <row r="29" spans="1:20" ht="15" customHeight="1">
      <c r="A29" s="42" t="s">
        <v>382</v>
      </c>
      <c r="B29" s="42" t="s">
        <v>299</v>
      </c>
      <c r="C29" s="14" t="s">
        <v>28</v>
      </c>
      <c r="D29" s="14" t="s">
        <v>375</v>
      </c>
      <c r="E29" s="14" t="s">
        <v>378</v>
      </c>
      <c r="F29" s="42" t="s">
        <v>383</v>
      </c>
      <c r="G29" s="14"/>
      <c r="H29" s="42" t="s">
        <v>13</v>
      </c>
      <c r="I29" s="14" t="s">
        <v>13</v>
      </c>
      <c r="J29" s="42" t="s">
        <v>47</v>
      </c>
      <c r="K29" s="59">
        <v>0.5</v>
      </c>
      <c r="L29" s="15"/>
      <c r="M29" s="14" t="s">
        <v>289</v>
      </c>
      <c r="N29" s="14" t="s">
        <v>20</v>
      </c>
      <c r="O29" s="14" t="s">
        <v>348</v>
      </c>
      <c r="P29" s="14"/>
      <c r="Q29" s="61" t="s">
        <v>306</v>
      </c>
      <c r="R29" s="14" t="s">
        <v>342</v>
      </c>
      <c r="S29" s="14" t="s">
        <v>350</v>
      </c>
      <c r="T29" s="14" t="s">
        <v>384</v>
      </c>
    </row>
    <row r="30" spans="1:20" ht="15" customHeight="1">
      <c r="A30" s="42" t="s">
        <v>385</v>
      </c>
      <c r="B30" s="42" t="s">
        <v>299</v>
      </c>
      <c r="C30" s="14" t="s">
        <v>28</v>
      </c>
      <c r="D30" s="14" t="s">
        <v>375</v>
      </c>
      <c r="E30" s="14" t="s">
        <v>378</v>
      </c>
      <c r="F30" s="42" t="s">
        <v>386</v>
      </c>
      <c r="G30" s="14"/>
      <c r="H30" s="42" t="s">
        <v>13</v>
      </c>
      <c r="I30" s="14" t="s">
        <v>13</v>
      </c>
      <c r="J30" s="42" t="s">
        <v>47</v>
      </c>
      <c r="K30" s="59">
        <v>1</v>
      </c>
      <c r="L30" s="15"/>
      <c r="M30" s="14" t="s">
        <v>289</v>
      </c>
      <c r="N30" s="14" t="s">
        <v>20</v>
      </c>
      <c r="O30" s="14" t="s">
        <v>348</v>
      </c>
      <c r="P30" s="14"/>
      <c r="Q30" s="61" t="s">
        <v>306</v>
      </c>
      <c r="R30" s="14" t="s">
        <v>342</v>
      </c>
      <c r="S30" s="14" t="s">
        <v>387</v>
      </c>
      <c r="T30" s="14" t="s">
        <v>388</v>
      </c>
    </row>
    <row r="31" spans="1:20" ht="15" customHeight="1">
      <c r="A31" s="58" t="s">
        <v>389</v>
      </c>
      <c r="B31" s="58" t="s">
        <v>299</v>
      </c>
      <c r="C31" s="14" t="s">
        <v>28</v>
      </c>
      <c r="D31" s="14" t="s">
        <v>375</v>
      </c>
      <c r="E31" s="14" t="s">
        <v>378</v>
      </c>
      <c r="F31" s="58" t="s">
        <v>390</v>
      </c>
      <c r="G31" s="14"/>
      <c r="H31" s="58" t="s">
        <v>296</v>
      </c>
      <c r="I31" s="14" t="s">
        <v>11</v>
      </c>
      <c r="J31" s="58" t="s">
        <v>12</v>
      </c>
      <c r="K31" s="59">
        <v>0.5</v>
      </c>
      <c r="L31" s="15"/>
      <c r="M31" s="14" t="s">
        <v>289</v>
      </c>
      <c r="N31" s="14" t="s">
        <v>20</v>
      </c>
      <c r="O31" s="14" t="s">
        <v>348</v>
      </c>
      <c r="P31" s="14"/>
      <c r="Q31" s="61" t="s">
        <v>306</v>
      </c>
      <c r="R31" s="14" t="s">
        <v>342</v>
      </c>
      <c r="S31" s="14" t="s">
        <v>391</v>
      </c>
      <c r="T31" s="14" t="s">
        <v>392</v>
      </c>
    </row>
    <row r="32" spans="1:20" ht="15" customHeight="1">
      <c r="A32" s="42" t="s">
        <v>393</v>
      </c>
      <c r="B32" s="42" t="s">
        <v>299</v>
      </c>
      <c r="C32" s="14" t="s">
        <v>28</v>
      </c>
      <c r="D32" s="14" t="s">
        <v>375</v>
      </c>
      <c r="E32" s="14" t="s">
        <v>378</v>
      </c>
      <c r="F32" s="42" t="s">
        <v>394</v>
      </c>
      <c r="G32" s="14"/>
      <c r="H32" s="42" t="s">
        <v>13</v>
      </c>
      <c r="I32" s="14" t="s">
        <v>13</v>
      </c>
      <c r="J32" s="42" t="s">
        <v>47</v>
      </c>
      <c r="K32" s="59">
        <v>0.5</v>
      </c>
      <c r="L32" s="15"/>
      <c r="M32" s="14" t="s">
        <v>289</v>
      </c>
      <c r="N32" s="14" t="s">
        <v>20</v>
      </c>
      <c r="O32" s="56" t="s">
        <v>297</v>
      </c>
      <c r="P32" s="14"/>
      <c r="Q32" s="61" t="s">
        <v>306</v>
      </c>
      <c r="R32" s="14" t="s">
        <v>342</v>
      </c>
      <c r="S32" s="14" t="s">
        <v>395</v>
      </c>
      <c r="T32" s="14" t="s">
        <v>396</v>
      </c>
    </row>
    <row r="33" spans="1:20" ht="103.5" customHeight="1">
      <c r="A33" s="53" t="s">
        <v>397</v>
      </c>
      <c r="B33" s="54" t="s">
        <v>293</v>
      </c>
      <c r="C33" s="14" t="s">
        <v>28</v>
      </c>
      <c r="D33" s="14" t="s">
        <v>375</v>
      </c>
      <c r="E33" s="14" t="s">
        <v>375</v>
      </c>
      <c r="F33" s="53" t="s">
        <v>398</v>
      </c>
      <c r="G33" s="14" t="s">
        <v>399</v>
      </c>
      <c r="H33" s="54" t="s">
        <v>333</v>
      </c>
      <c r="I33" s="14" t="s">
        <v>11</v>
      </c>
      <c r="J33" s="14" t="s">
        <v>12</v>
      </c>
      <c r="K33" s="30">
        <f>SUMIFS($K:$K,$E:$E,A33,$B:$B,"Sous-tâche")</f>
        <v>0.5</v>
      </c>
      <c r="L33" s="55">
        <v>1</v>
      </c>
      <c r="M33" s="14" t="s">
        <v>289</v>
      </c>
      <c r="N33" s="14" t="s">
        <v>242</v>
      </c>
      <c r="O33" s="56" t="s">
        <v>297</v>
      </c>
      <c r="P33" s="14" t="s">
        <v>338</v>
      </c>
      <c r="Q33" s="57" t="str">
        <f>IF(COUNTIFS($E:$E,A33,$B:$B,"Sous-tâche")=0,"To Do",IF(COUNTIFS($E:$E,A33,$B:$B,"Sous-tâche",$Q:$Q,"Done")=COUNTIFS($E:$E,A33,$B:$B,"Sous-tâche"),"Done",IF(COUNTIFS($E:$E,A33,$B:$B,"Sous-tâche",$Q:$Q,"To Do")=COUNTIFS($E:$E,A33,$B:$B,"Sous-tâche"),"To Do","In Progress")))</f>
        <v>To Do</v>
      </c>
      <c r="R33" s="14" t="s">
        <v>342</v>
      </c>
    </row>
    <row r="34" spans="1:20" ht="15" customHeight="1">
      <c r="A34" s="63" t="s">
        <v>400</v>
      </c>
      <c r="B34" s="63" t="s">
        <v>299</v>
      </c>
      <c r="C34" s="14" t="s">
        <v>28</v>
      </c>
      <c r="D34" s="14" t="s">
        <v>375</v>
      </c>
      <c r="E34" s="14" t="s">
        <v>397</v>
      </c>
      <c r="F34" s="63" t="s">
        <v>401</v>
      </c>
      <c r="G34" s="14"/>
      <c r="H34" s="63" t="s">
        <v>333</v>
      </c>
      <c r="I34" s="14" t="s">
        <v>11</v>
      </c>
      <c r="J34" s="58" t="s">
        <v>12</v>
      </c>
      <c r="K34" s="59">
        <v>0.5</v>
      </c>
      <c r="L34" s="15"/>
      <c r="M34" s="14" t="s">
        <v>289</v>
      </c>
      <c r="N34" s="14" t="s">
        <v>242</v>
      </c>
      <c r="O34" s="56" t="s">
        <v>297</v>
      </c>
      <c r="P34" s="14"/>
      <c r="Q34" s="14" t="s">
        <v>315</v>
      </c>
      <c r="R34" s="14" t="s">
        <v>342</v>
      </c>
    </row>
    <row r="35" spans="1:20" ht="30" customHeight="1">
      <c r="A35" s="21" t="s">
        <v>402</v>
      </c>
      <c r="B35" s="21" t="s">
        <v>286</v>
      </c>
      <c r="C35" s="21" t="s">
        <v>28</v>
      </c>
      <c r="D35" s="21" t="s">
        <v>402</v>
      </c>
      <c r="E35" s="21"/>
      <c r="F35" s="21" t="s">
        <v>403</v>
      </c>
      <c r="G35" s="21" t="s">
        <v>404</v>
      </c>
      <c r="H35" s="21"/>
      <c r="I35" s="21"/>
      <c r="J35" s="21"/>
      <c r="K35" s="50">
        <f>SUMIFS($K:$K,$D:$D,A35,$B:$B,"Sous-tâche")</f>
        <v>18</v>
      </c>
      <c r="L35" s="51">
        <f>SUMIFS($L:$L,$D:$D,A35,$B:$B,"Story")</f>
        <v>36</v>
      </c>
      <c r="M35" s="21" t="s">
        <v>289</v>
      </c>
      <c r="N35" s="21"/>
      <c r="O35" s="21"/>
      <c r="P35" s="21" t="s">
        <v>405</v>
      </c>
      <c r="Q35" s="52" t="str">
        <f>IF(COUNTIFS($D:$D,A35,$B:$B,"Sous-tâche")=0,"To Do",IF(COUNTIFS($D:$D,A35,$B:$B,"Sous-tâche",$Q:$Q,"Done")=COUNTIFS($D:$D,A35,$B:$B,"Sous-tâche"),"Done",IF(COUNTIFS($D:$D,A35,$B:$B,"Sous-tâche",$Q:$Q,"To Do")=COUNTIFS($D:$D,A35,$B:$B,"Sous-tâche"),"To Do","In Progress")))</f>
        <v>In Progress</v>
      </c>
      <c r="R35" s="21" t="s">
        <v>342</v>
      </c>
    </row>
    <row r="36" spans="1:20" ht="103.5" customHeight="1">
      <c r="A36" s="53" t="s">
        <v>406</v>
      </c>
      <c r="B36" s="54" t="s">
        <v>293</v>
      </c>
      <c r="C36" s="14" t="s">
        <v>28</v>
      </c>
      <c r="D36" s="14" t="s">
        <v>402</v>
      </c>
      <c r="E36" s="14" t="s">
        <v>402</v>
      </c>
      <c r="F36" s="53" t="s">
        <v>407</v>
      </c>
      <c r="G36" s="14" t="s">
        <v>408</v>
      </c>
      <c r="H36" s="54" t="s">
        <v>13</v>
      </c>
      <c r="I36" s="14" t="s">
        <v>13</v>
      </c>
      <c r="J36" s="14" t="s">
        <v>47</v>
      </c>
      <c r="K36" s="30">
        <f>SUMIFS($K:$K,$E:$E,A36,$B:$B,"Sous-tâche")</f>
        <v>6</v>
      </c>
      <c r="L36" s="55">
        <v>13</v>
      </c>
      <c r="M36" s="14" t="s">
        <v>289</v>
      </c>
      <c r="N36" s="14" t="s">
        <v>20</v>
      </c>
      <c r="O36" s="14" t="s">
        <v>348</v>
      </c>
      <c r="P36" s="14" t="s">
        <v>405</v>
      </c>
      <c r="Q36" s="57" t="str">
        <f>IF(COUNTIFS($E:$E,A36,$B:$B,"Sous-tâche")=0,"To Do",IF(COUNTIFS($E:$E,A36,$B:$B,"Sous-tâche",$Q:$Q,"Done")=COUNTIFS($E:$E,A36,$B:$B,"Sous-tâche"),"Done",IF(COUNTIFS($E:$E,A36,$B:$B,"Sous-tâche",$Q:$Q,"To Do")=COUNTIFS($E:$E,A36,$B:$B,"Sous-tâche"),"To Do","In Progress")))</f>
        <v>In Progress</v>
      </c>
      <c r="R36" s="14" t="s">
        <v>342</v>
      </c>
    </row>
    <row r="37" spans="1:20" ht="15" customHeight="1">
      <c r="A37" s="42" t="s">
        <v>409</v>
      </c>
      <c r="B37" s="42" t="s">
        <v>299</v>
      </c>
      <c r="C37" s="14" t="s">
        <v>28</v>
      </c>
      <c r="D37" s="14" t="s">
        <v>402</v>
      </c>
      <c r="E37" s="14" t="s">
        <v>406</v>
      </c>
      <c r="F37" s="42" t="s">
        <v>410</v>
      </c>
      <c r="G37" s="14"/>
      <c r="H37" s="42" t="s">
        <v>13</v>
      </c>
      <c r="I37" s="14" t="s">
        <v>13</v>
      </c>
      <c r="J37" s="42" t="s">
        <v>47</v>
      </c>
      <c r="K37" s="59">
        <v>3</v>
      </c>
      <c r="L37" s="15"/>
      <c r="M37" s="14" t="s">
        <v>289</v>
      </c>
      <c r="N37" s="14" t="s">
        <v>20</v>
      </c>
      <c r="O37" s="14" t="s">
        <v>348</v>
      </c>
      <c r="P37" s="14"/>
      <c r="Q37" s="61" t="s">
        <v>306</v>
      </c>
      <c r="R37" s="14" t="s">
        <v>342</v>
      </c>
      <c r="S37" s="14" t="s">
        <v>411</v>
      </c>
      <c r="T37" s="14" t="s">
        <v>412</v>
      </c>
    </row>
    <row r="38" spans="1:20" ht="15" customHeight="1">
      <c r="A38" s="42" t="s">
        <v>413</v>
      </c>
      <c r="B38" s="42" t="s">
        <v>299</v>
      </c>
      <c r="C38" s="14" t="s">
        <v>28</v>
      </c>
      <c r="D38" s="14" t="s">
        <v>402</v>
      </c>
      <c r="E38" s="14" t="s">
        <v>406</v>
      </c>
      <c r="F38" s="42" t="s">
        <v>414</v>
      </c>
      <c r="G38" s="14"/>
      <c r="H38" s="42" t="s">
        <v>13</v>
      </c>
      <c r="I38" s="14" t="s">
        <v>13</v>
      </c>
      <c r="J38" s="42" t="s">
        <v>47</v>
      </c>
      <c r="K38" s="59">
        <v>1</v>
      </c>
      <c r="L38" s="15"/>
      <c r="M38" s="14" t="s">
        <v>289</v>
      </c>
      <c r="N38" s="14" t="s">
        <v>20</v>
      </c>
      <c r="O38" s="14" t="s">
        <v>348</v>
      </c>
      <c r="P38" s="14"/>
      <c r="Q38" s="14" t="s">
        <v>315</v>
      </c>
      <c r="R38" s="14" t="s">
        <v>342</v>
      </c>
    </row>
    <row r="39" spans="1:20" ht="15" customHeight="1">
      <c r="A39" s="42" t="s">
        <v>415</v>
      </c>
      <c r="B39" s="42" t="s">
        <v>299</v>
      </c>
      <c r="C39" s="14" t="s">
        <v>28</v>
      </c>
      <c r="D39" s="14" t="s">
        <v>402</v>
      </c>
      <c r="E39" s="14" t="s">
        <v>406</v>
      </c>
      <c r="F39" s="42" t="s">
        <v>416</v>
      </c>
      <c r="G39" s="14"/>
      <c r="H39" s="42" t="s">
        <v>13</v>
      </c>
      <c r="I39" s="14" t="s">
        <v>13</v>
      </c>
      <c r="J39" s="42" t="s">
        <v>47</v>
      </c>
      <c r="K39" s="59">
        <v>2</v>
      </c>
      <c r="L39" s="15"/>
      <c r="M39" s="14" t="s">
        <v>289</v>
      </c>
      <c r="N39" s="14" t="s">
        <v>20</v>
      </c>
      <c r="O39" s="14" t="s">
        <v>348</v>
      </c>
      <c r="P39" s="14"/>
      <c r="Q39" s="61" t="s">
        <v>306</v>
      </c>
      <c r="R39" s="14" t="s">
        <v>342</v>
      </c>
      <c r="S39" s="14" t="s">
        <v>45</v>
      </c>
      <c r="T39" s="14" t="s">
        <v>417</v>
      </c>
    </row>
    <row r="40" spans="1:20" ht="103.5" customHeight="1">
      <c r="A40" s="53" t="s">
        <v>418</v>
      </c>
      <c r="B40" s="54" t="s">
        <v>293</v>
      </c>
      <c r="C40" s="14" t="s">
        <v>28</v>
      </c>
      <c r="D40" s="14" t="s">
        <v>402</v>
      </c>
      <c r="E40" s="14" t="s">
        <v>402</v>
      </c>
      <c r="F40" s="53" t="s">
        <v>419</v>
      </c>
      <c r="G40" s="14" t="s">
        <v>420</v>
      </c>
      <c r="H40" s="54" t="s">
        <v>421</v>
      </c>
      <c r="I40" s="14" t="s">
        <v>421</v>
      </c>
      <c r="J40" s="14" t="s">
        <v>47</v>
      </c>
      <c r="K40" s="30">
        <f>SUMIFS($K:$K,$E:$E,A40,$B:$B,"Sous-tâche")</f>
        <v>6</v>
      </c>
      <c r="L40" s="55">
        <v>13</v>
      </c>
      <c r="M40" s="14" t="s">
        <v>289</v>
      </c>
      <c r="N40" s="14" t="s">
        <v>21</v>
      </c>
      <c r="O40" s="14" t="s">
        <v>348</v>
      </c>
      <c r="P40" s="14" t="s">
        <v>405</v>
      </c>
      <c r="Q40" s="57" t="str">
        <f>IF(COUNTIFS($E:$E,A40,$B:$B,"Sous-tâche")=0,"To Do",IF(COUNTIFS($E:$E,A40,$B:$B,"Sous-tâche",$Q:$Q,"Done")=COUNTIFS($E:$E,A40,$B:$B,"Sous-tâche"),"Done",IF(COUNTIFS($E:$E,A40,$B:$B,"Sous-tâche",$Q:$Q,"To Do")=COUNTIFS($E:$E,A40,$B:$B,"Sous-tâche"),"To Do","In Progress")))</f>
        <v>In Progress</v>
      </c>
      <c r="R40" s="14" t="s">
        <v>342</v>
      </c>
    </row>
    <row r="41" spans="1:20" ht="15" customHeight="1">
      <c r="A41" s="62" t="s">
        <v>422</v>
      </c>
      <c r="B41" s="62" t="s">
        <v>299</v>
      </c>
      <c r="C41" s="14" t="s">
        <v>28</v>
      </c>
      <c r="D41" s="14" t="s">
        <v>402</v>
      </c>
      <c r="E41" s="14" t="s">
        <v>418</v>
      </c>
      <c r="F41" s="62" t="s">
        <v>423</v>
      </c>
      <c r="G41" s="14"/>
      <c r="H41" s="62" t="s">
        <v>17</v>
      </c>
      <c r="I41" s="14" t="s">
        <v>17</v>
      </c>
      <c r="J41" s="62" t="s">
        <v>18</v>
      </c>
      <c r="K41" s="59">
        <v>2</v>
      </c>
      <c r="L41" s="15"/>
      <c r="M41" s="14" t="s">
        <v>289</v>
      </c>
      <c r="N41" s="14" t="s">
        <v>21</v>
      </c>
      <c r="O41" s="14" t="s">
        <v>348</v>
      </c>
      <c r="P41" s="14"/>
      <c r="Q41" s="61" t="s">
        <v>306</v>
      </c>
      <c r="R41" s="14" t="s">
        <v>342</v>
      </c>
      <c r="S41" s="14" t="s">
        <v>45</v>
      </c>
      <c r="T41" s="14" t="s">
        <v>424</v>
      </c>
    </row>
    <row r="42" spans="1:20" ht="15" customHeight="1">
      <c r="A42" s="42" t="s">
        <v>425</v>
      </c>
      <c r="B42" s="42" t="s">
        <v>299</v>
      </c>
      <c r="C42" s="14" t="s">
        <v>28</v>
      </c>
      <c r="D42" s="14" t="s">
        <v>402</v>
      </c>
      <c r="E42" s="14" t="s">
        <v>418</v>
      </c>
      <c r="F42" s="42" t="s">
        <v>426</v>
      </c>
      <c r="G42" s="14"/>
      <c r="H42" s="42" t="s">
        <v>13</v>
      </c>
      <c r="I42" s="14" t="s">
        <v>13</v>
      </c>
      <c r="J42" s="42" t="s">
        <v>47</v>
      </c>
      <c r="K42" s="59">
        <v>2</v>
      </c>
      <c r="L42" s="15"/>
      <c r="M42" s="14" t="s">
        <v>289</v>
      </c>
      <c r="N42" s="14" t="s">
        <v>21</v>
      </c>
      <c r="O42" s="14" t="s">
        <v>348</v>
      </c>
      <c r="P42" s="14"/>
      <c r="Q42" s="14" t="s">
        <v>315</v>
      </c>
      <c r="R42" s="14" t="s">
        <v>342</v>
      </c>
    </row>
    <row r="43" spans="1:20" ht="15" customHeight="1">
      <c r="A43" s="42" t="s">
        <v>427</v>
      </c>
      <c r="B43" s="42" t="s">
        <v>299</v>
      </c>
      <c r="C43" s="14" t="s">
        <v>28</v>
      </c>
      <c r="D43" s="14" t="s">
        <v>402</v>
      </c>
      <c r="E43" s="14" t="s">
        <v>418</v>
      </c>
      <c r="F43" s="42" t="s">
        <v>428</v>
      </c>
      <c r="G43" s="14"/>
      <c r="H43" s="42" t="s">
        <v>13</v>
      </c>
      <c r="I43" s="14" t="s">
        <v>13</v>
      </c>
      <c r="J43" s="42" t="s">
        <v>47</v>
      </c>
      <c r="K43" s="59">
        <v>2</v>
      </c>
      <c r="L43" s="15"/>
      <c r="M43" s="14" t="s">
        <v>289</v>
      </c>
      <c r="N43" s="14" t="s">
        <v>21</v>
      </c>
      <c r="O43" s="14" t="s">
        <v>348</v>
      </c>
      <c r="P43" s="14"/>
      <c r="Q43" s="14" t="s">
        <v>315</v>
      </c>
      <c r="R43" s="14" t="s">
        <v>342</v>
      </c>
    </row>
    <row r="44" spans="1:20" ht="90.75" customHeight="1">
      <c r="A44" s="53" t="s">
        <v>429</v>
      </c>
      <c r="B44" s="54" t="s">
        <v>293</v>
      </c>
      <c r="C44" s="14" t="s">
        <v>28</v>
      </c>
      <c r="D44" s="14" t="s">
        <v>402</v>
      </c>
      <c r="E44" s="14" t="s">
        <v>402</v>
      </c>
      <c r="F44" s="53" t="s">
        <v>430</v>
      </c>
      <c r="G44" s="14" t="s">
        <v>431</v>
      </c>
      <c r="H44" s="54" t="s">
        <v>13</v>
      </c>
      <c r="I44" s="14" t="s">
        <v>13</v>
      </c>
      <c r="J44" s="14" t="s">
        <v>47</v>
      </c>
      <c r="K44" s="30">
        <f>SUMIFS($K:$K,$E:$E,A44,$B:$B,"Sous-tâche")</f>
        <v>3</v>
      </c>
      <c r="L44" s="55">
        <v>5</v>
      </c>
      <c r="M44" s="14" t="s">
        <v>312</v>
      </c>
      <c r="N44" s="14" t="s">
        <v>21</v>
      </c>
      <c r="O44" s="14" t="s">
        <v>348</v>
      </c>
      <c r="P44" s="14" t="s">
        <v>405</v>
      </c>
      <c r="Q44" s="57" t="str">
        <f>IF(COUNTIFS($E:$E,A44,$B:$B,"Sous-tâche")=0,"To Do",IF(COUNTIFS($E:$E,A44,$B:$B,"Sous-tâche",$Q:$Q,"Done")=COUNTIFS($E:$E,A44,$B:$B,"Sous-tâche"),"Done",IF(COUNTIFS($E:$E,A44,$B:$B,"Sous-tâche",$Q:$Q,"To Do")=COUNTIFS($E:$E,A44,$B:$B,"Sous-tâche"),"To Do","In Progress")))</f>
        <v>In Progress</v>
      </c>
      <c r="R44" s="14" t="s">
        <v>342</v>
      </c>
    </row>
    <row r="45" spans="1:20" ht="15" customHeight="1">
      <c r="A45" s="42" t="s">
        <v>432</v>
      </c>
      <c r="B45" s="42" t="s">
        <v>299</v>
      </c>
      <c r="C45" s="14" t="s">
        <v>28</v>
      </c>
      <c r="D45" s="14" t="s">
        <v>402</v>
      </c>
      <c r="E45" s="14" t="s">
        <v>429</v>
      </c>
      <c r="F45" s="42" t="s">
        <v>433</v>
      </c>
      <c r="G45" s="14"/>
      <c r="H45" s="42" t="s">
        <v>13</v>
      </c>
      <c r="I45" s="14" t="s">
        <v>13</v>
      </c>
      <c r="J45" s="42" t="s">
        <v>47</v>
      </c>
      <c r="K45" s="59">
        <v>1.5</v>
      </c>
      <c r="L45" s="15"/>
      <c r="M45" s="14" t="s">
        <v>312</v>
      </c>
      <c r="N45" s="14" t="s">
        <v>21</v>
      </c>
      <c r="O45" s="14" t="s">
        <v>348</v>
      </c>
      <c r="P45" s="14"/>
      <c r="Q45" s="60" t="s">
        <v>301</v>
      </c>
      <c r="R45" s="14" t="s">
        <v>342</v>
      </c>
      <c r="S45" s="14" t="s">
        <v>45</v>
      </c>
      <c r="T45" s="14" t="s">
        <v>434</v>
      </c>
    </row>
    <row r="46" spans="1:20" ht="15" customHeight="1">
      <c r="A46" s="42" t="s">
        <v>435</v>
      </c>
      <c r="B46" s="42" t="s">
        <v>299</v>
      </c>
      <c r="C46" s="14" t="s">
        <v>28</v>
      </c>
      <c r="D46" s="14" t="s">
        <v>402</v>
      </c>
      <c r="E46" s="14" t="s">
        <v>429</v>
      </c>
      <c r="F46" s="42" t="s">
        <v>436</v>
      </c>
      <c r="G46" s="14"/>
      <c r="H46" s="42" t="s">
        <v>13</v>
      </c>
      <c r="I46" s="14" t="s">
        <v>13</v>
      </c>
      <c r="J46" s="42" t="s">
        <v>47</v>
      </c>
      <c r="K46" s="59">
        <v>1.5</v>
      </c>
      <c r="L46" s="15"/>
      <c r="M46" s="14" t="s">
        <v>312</v>
      </c>
      <c r="N46" s="14" t="s">
        <v>21</v>
      </c>
      <c r="O46" s="14" t="s">
        <v>348</v>
      </c>
      <c r="P46" s="14"/>
      <c r="Q46" s="14" t="s">
        <v>315</v>
      </c>
      <c r="R46" s="14" t="s">
        <v>342</v>
      </c>
    </row>
    <row r="47" spans="1:20" ht="90.75" customHeight="1">
      <c r="A47" s="53" t="s">
        <v>437</v>
      </c>
      <c r="B47" s="54" t="s">
        <v>293</v>
      </c>
      <c r="C47" s="14" t="s">
        <v>28</v>
      </c>
      <c r="D47" s="14" t="s">
        <v>402</v>
      </c>
      <c r="E47" s="14" t="s">
        <v>402</v>
      </c>
      <c r="F47" s="53" t="s">
        <v>438</v>
      </c>
      <c r="G47" s="14" t="s">
        <v>439</v>
      </c>
      <c r="H47" s="54" t="s">
        <v>13</v>
      </c>
      <c r="I47" s="14" t="s">
        <v>13</v>
      </c>
      <c r="J47" s="14" t="s">
        <v>47</v>
      </c>
      <c r="K47" s="30">
        <f>SUMIFS($K:$K,$E:$E,A47,$B:$B,"Sous-tâche")</f>
        <v>3</v>
      </c>
      <c r="L47" s="55">
        <v>5</v>
      </c>
      <c r="M47" s="14" t="s">
        <v>312</v>
      </c>
      <c r="N47" s="14" t="s">
        <v>23</v>
      </c>
      <c r="O47" s="14" t="s">
        <v>348</v>
      </c>
      <c r="P47" s="14" t="s">
        <v>405</v>
      </c>
      <c r="Q47" s="57" t="str">
        <f>IF(COUNTIFS($E:$E,A47,$B:$B,"Sous-tâche")=0,"To Do",IF(COUNTIFS($E:$E,A47,$B:$B,"Sous-tâche",$Q:$Q,"Done")=COUNTIFS($E:$E,A47,$B:$B,"Sous-tâche"),"Done",IF(COUNTIFS($E:$E,A47,$B:$B,"Sous-tâche",$Q:$Q,"To Do")=COUNTIFS($E:$E,A47,$B:$B,"Sous-tâche"),"To Do","In Progress")))</f>
        <v>To Do</v>
      </c>
      <c r="R47" s="14" t="s">
        <v>342</v>
      </c>
    </row>
    <row r="48" spans="1:20" ht="15" customHeight="1">
      <c r="A48" s="42" t="s">
        <v>440</v>
      </c>
      <c r="B48" s="42" t="s">
        <v>299</v>
      </c>
      <c r="C48" s="14" t="s">
        <v>28</v>
      </c>
      <c r="D48" s="14" t="s">
        <v>402</v>
      </c>
      <c r="E48" s="14" t="s">
        <v>437</v>
      </c>
      <c r="F48" s="42" t="s">
        <v>441</v>
      </c>
      <c r="G48" s="14"/>
      <c r="H48" s="42" t="s">
        <v>13</v>
      </c>
      <c r="I48" s="14" t="s">
        <v>13</v>
      </c>
      <c r="J48" s="42" t="s">
        <v>47</v>
      </c>
      <c r="K48" s="59">
        <v>2</v>
      </c>
      <c r="L48" s="15"/>
      <c r="M48" s="14" t="s">
        <v>312</v>
      </c>
      <c r="N48" s="14" t="s">
        <v>23</v>
      </c>
      <c r="O48" s="14" t="s">
        <v>348</v>
      </c>
      <c r="P48" s="14"/>
      <c r="Q48" s="14" t="s">
        <v>315</v>
      </c>
      <c r="R48" s="14" t="s">
        <v>342</v>
      </c>
    </row>
    <row r="49" spans="1:20" ht="15" customHeight="1">
      <c r="A49" s="42" t="s">
        <v>442</v>
      </c>
      <c r="B49" s="42" t="s">
        <v>299</v>
      </c>
      <c r="C49" s="14" t="s">
        <v>28</v>
      </c>
      <c r="D49" s="14" t="s">
        <v>402</v>
      </c>
      <c r="E49" s="14" t="s">
        <v>437</v>
      </c>
      <c r="F49" s="42" t="s">
        <v>443</v>
      </c>
      <c r="G49" s="14"/>
      <c r="H49" s="42" t="s">
        <v>13</v>
      </c>
      <c r="I49" s="14" t="s">
        <v>13</v>
      </c>
      <c r="J49" s="42" t="s">
        <v>47</v>
      </c>
      <c r="K49" s="59">
        <v>1</v>
      </c>
      <c r="L49" s="15"/>
      <c r="M49" s="14" t="s">
        <v>312</v>
      </c>
      <c r="N49" s="14" t="s">
        <v>23</v>
      </c>
      <c r="O49" s="14" t="s">
        <v>348</v>
      </c>
      <c r="P49" s="14"/>
      <c r="Q49" s="14" t="s">
        <v>315</v>
      </c>
      <c r="R49" s="14" t="s">
        <v>342</v>
      </c>
    </row>
    <row r="50" spans="1:20" ht="30" customHeight="1">
      <c r="A50" s="21" t="s">
        <v>444</v>
      </c>
      <c r="B50" s="21" t="s">
        <v>286</v>
      </c>
      <c r="C50" s="21" t="s">
        <v>28</v>
      </c>
      <c r="D50" s="21" t="s">
        <v>444</v>
      </c>
      <c r="E50" s="21"/>
      <c r="F50" s="21" t="s">
        <v>445</v>
      </c>
      <c r="G50" s="21" t="s">
        <v>446</v>
      </c>
      <c r="H50" s="21"/>
      <c r="I50" s="21"/>
      <c r="J50" s="21"/>
      <c r="K50" s="50">
        <f>SUMIFS($K:$K,$D:$D,A50,$B:$B,"Sous-tâche")</f>
        <v>8.5</v>
      </c>
      <c r="L50" s="51">
        <f>SUMIFS($L:$L,$D:$D,A50,$B:$B,"Story")</f>
        <v>16</v>
      </c>
      <c r="M50" s="21" t="s">
        <v>312</v>
      </c>
      <c r="N50" s="21"/>
      <c r="O50" s="21"/>
      <c r="P50" s="21" t="s">
        <v>447</v>
      </c>
      <c r="Q50" s="52" t="str">
        <f>IF(COUNTIFS($D:$D,A50,$B:$B,"Sous-tâche")=0,"To Do",IF(COUNTIFS($D:$D,A50,$B:$B,"Sous-tâche",$Q:$Q,"Done")=COUNTIFS($D:$D,A50,$B:$B,"Sous-tâche"),"Done",IF(COUNTIFS($D:$D,A50,$B:$B,"Sous-tâche",$Q:$Q,"To Do")=COUNTIFS($D:$D,A50,$B:$B,"Sous-tâche"),"To Do","In Progress")))</f>
        <v>In Progress</v>
      </c>
      <c r="R50" s="21" t="s">
        <v>342</v>
      </c>
    </row>
    <row r="51" spans="1:20" ht="103.5" customHeight="1">
      <c r="A51" s="53" t="s">
        <v>448</v>
      </c>
      <c r="B51" s="54" t="s">
        <v>293</v>
      </c>
      <c r="C51" s="14" t="s">
        <v>28</v>
      </c>
      <c r="D51" s="14" t="s">
        <v>444</v>
      </c>
      <c r="E51" s="14" t="s">
        <v>444</v>
      </c>
      <c r="F51" s="53" t="s">
        <v>449</v>
      </c>
      <c r="G51" s="14" t="s">
        <v>450</v>
      </c>
      <c r="H51" s="54" t="s">
        <v>421</v>
      </c>
      <c r="I51" s="14" t="s">
        <v>421</v>
      </c>
      <c r="J51" s="14" t="s">
        <v>47</v>
      </c>
      <c r="K51" s="30">
        <f>SUMIFS($K:$K,$E:$E,A51,$B:$B,"Sous-tâche")</f>
        <v>4.5</v>
      </c>
      <c r="L51" s="55">
        <v>8</v>
      </c>
      <c r="M51" s="14" t="s">
        <v>312</v>
      </c>
      <c r="N51" s="14" t="s">
        <v>21</v>
      </c>
      <c r="O51" s="14" t="s">
        <v>348</v>
      </c>
      <c r="P51" s="14" t="s">
        <v>447</v>
      </c>
      <c r="Q51" s="57" t="str">
        <f>IF(COUNTIFS($E:$E,A51,$B:$B,"Sous-tâche")=0,"To Do",IF(COUNTIFS($E:$E,A51,$B:$B,"Sous-tâche",$Q:$Q,"Done")=COUNTIFS($E:$E,A51,$B:$B,"Sous-tâche"),"Done",IF(COUNTIFS($E:$E,A51,$B:$B,"Sous-tâche",$Q:$Q,"To Do")=COUNTIFS($E:$E,A51,$B:$B,"Sous-tâche"),"To Do","In Progress")))</f>
        <v>In Progress</v>
      </c>
      <c r="R51" s="14" t="s">
        <v>342</v>
      </c>
    </row>
    <row r="52" spans="1:20" ht="15" customHeight="1">
      <c r="A52" s="62" t="s">
        <v>451</v>
      </c>
      <c r="B52" s="62" t="s">
        <v>299</v>
      </c>
      <c r="C52" s="14" t="s">
        <v>28</v>
      </c>
      <c r="D52" s="14" t="s">
        <v>444</v>
      </c>
      <c r="E52" s="14" t="s">
        <v>448</v>
      </c>
      <c r="F52" s="62" t="s">
        <v>452</v>
      </c>
      <c r="G52" s="14"/>
      <c r="H52" s="62" t="s">
        <v>17</v>
      </c>
      <c r="I52" s="14" t="s">
        <v>17</v>
      </c>
      <c r="J52" s="62" t="s">
        <v>18</v>
      </c>
      <c r="K52" s="59">
        <v>1.5</v>
      </c>
      <c r="L52" s="15"/>
      <c r="M52" s="14" t="s">
        <v>312</v>
      </c>
      <c r="N52" s="14" t="s">
        <v>21</v>
      </c>
      <c r="O52" s="14" t="s">
        <v>348</v>
      </c>
      <c r="P52" s="14"/>
      <c r="Q52" s="14" t="s">
        <v>315</v>
      </c>
      <c r="R52" s="14" t="s">
        <v>342</v>
      </c>
    </row>
    <row r="53" spans="1:20" ht="15" customHeight="1">
      <c r="A53" s="42" t="s">
        <v>453</v>
      </c>
      <c r="B53" s="42" t="s">
        <v>299</v>
      </c>
      <c r="C53" s="14" t="s">
        <v>28</v>
      </c>
      <c r="D53" s="14" t="s">
        <v>444</v>
      </c>
      <c r="E53" s="14" t="s">
        <v>448</v>
      </c>
      <c r="F53" s="42" t="s">
        <v>454</v>
      </c>
      <c r="G53" s="14"/>
      <c r="H53" s="42" t="s">
        <v>13</v>
      </c>
      <c r="I53" s="14" t="s">
        <v>13</v>
      </c>
      <c r="J53" s="42" t="s">
        <v>47</v>
      </c>
      <c r="K53" s="59">
        <v>1</v>
      </c>
      <c r="L53" s="15"/>
      <c r="M53" s="14" t="s">
        <v>312</v>
      </c>
      <c r="N53" s="14" t="s">
        <v>21</v>
      </c>
      <c r="O53" s="14" t="s">
        <v>348</v>
      </c>
      <c r="P53" s="14"/>
      <c r="Q53" s="14" t="s">
        <v>315</v>
      </c>
      <c r="R53" s="14" t="s">
        <v>342</v>
      </c>
    </row>
    <row r="54" spans="1:20" ht="15" customHeight="1">
      <c r="A54" s="42" t="s">
        <v>455</v>
      </c>
      <c r="B54" s="42" t="s">
        <v>299</v>
      </c>
      <c r="C54" s="14" t="s">
        <v>28</v>
      </c>
      <c r="D54" s="14" t="s">
        <v>444</v>
      </c>
      <c r="E54" s="14" t="s">
        <v>448</v>
      </c>
      <c r="F54" s="42" t="s">
        <v>456</v>
      </c>
      <c r="G54" s="14"/>
      <c r="H54" s="42" t="s">
        <v>13</v>
      </c>
      <c r="I54" s="14" t="s">
        <v>13</v>
      </c>
      <c r="J54" s="42" t="s">
        <v>47</v>
      </c>
      <c r="K54" s="59">
        <v>1.5</v>
      </c>
      <c r="L54" s="15"/>
      <c r="M54" s="14" t="s">
        <v>312</v>
      </c>
      <c r="N54" s="14" t="s">
        <v>21</v>
      </c>
      <c r="O54" s="14" t="s">
        <v>348</v>
      </c>
      <c r="P54" s="14"/>
      <c r="Q54" s="61" t="s">
        <v>306</v>
      </c>
      <c r="R54" s="14" t="s">
        <v>342</v>
      </c>
      <c r="S54" s="14" t="s">
        <v>457</v>
      </c>
      <c r="T54" s="14" t="s">
        <v>458</v>
      </c>
    </row>
    <row r="55" spans="1:20" ht="103.5" customHeight="1">
      <c r="A55" s="53" t="s">
        <v>459</v>
      </c>
      <c r="B55" s="54" t="s">
        <v>293</v>
      </c>
      <c r="C55" s="14" t="s">
        <v>28</v>
      </c>
      <c r="D55" s="14" t="s">
        <v>444</v>
      </c>
      <c r="E55" s="14" t="s">
        <v>444</v>
      </c>
      <c r="F55" s="53" t="s">
        <v>460</v>
      </c>
      <c r="G55" s="14" t="s">
        <v>461</v>
      </c>
      <c r="H55" s="54" t="s">
        <v>346</v>
      </c>
      <c r="I55" s="14" t="s">
        <v>347</v>
      </c>
      <c r="J55" s="14" t="s">
        <v>47</v>
      </c>
      <c r="K55" s="30">
        <f>SUMIFS($K:$K,$E:$E,A55,$B:$B,"Sous-tâche")</f>
        <v>4</v>
      </c>
      <c r="L55" s="55">
        <v>8</v>
      </c>
      <c r="M55" s="14" t="s">
        <v>312</v>
      </c>
      <c r="N55" s="14" t="s">
        <v>24</v>
      </c>
      <c r="O55" s="14" t="s">
        <v>348</v>
      </c>
      <c r="P55" s="14" t="s">
        <v>447</v>
      </c>
      <c r="Q55" s="57" t="str">
        <f>IF(COUNTIFS($E:$E,A55,$B:$B,"Sous-tâche")=0,"To Do",IF(COUNTIFS($E:$E,A55,$B:$B,"Sous-tâche",$Q:$Q,"Done")=COUNTIFS($E:$E,A55,$B:$B,"Sous-tâche"),"Done",IF(COUNTIFS($E:$E,A55,$B:$B,"Sous-tâche",$Q:$Q,"To Do")=COUNTIFS($E:$E,A55,$B:$B,"Sous-tâche"),"To Do","In Progress")))</f>
        <v>In Progress</v>
      </c>
      <c r="R55" s="14" t="s">
        <v>342</v>
      </c>
    </row>
    <row r="56" spans="1:20" ht="15" customHeight="1">
      <c r="A56" s="42" t="s">
        <v>462</v>
      </c>
      <c r="B56" s="42" t="s">
        <v>299</v>
      </c>
      <c r="C56" s="14" t="s">
        <v>28</v>
      </c>
      <c r="D56" s="14" t="s">
        <v>444</v>
      </c>
      <c r="E56" s="14" t="s">
        <v>459</v>
      </c>
      <c r="F56" s="42" t="s">
        <v>463</v>
      </c>
      <c r="G56" s="14"/>
      <c r="H56" s="42" t="s">
        <v>13</v>
      </c>
      <c r="I56" s="14" t="s">
        <v>13</v>
      </c>
      <c r="J56" s="42" t="s">
        <v>47</v>
      </c>
      <c r="K56" s="59">
        <v>1.5</v>
      </c>
      <c r="L56" s="15"/>
      <c r="M56" s="14" t="s">
        <v>312</v>
      </c>
      <c r="N56" s="14" t="s">
        <v>24</v>
      </c>
      <c r="O56" s="14" t="s">
        <v>348</v>
      </c>
      <c r="P56" s="14"/>
      <c r="Q56" s="61" t="s">
        <v>306</v>
      </c>
      <c r="R56" s="14" t="s">
        <v>342</v>
      </c>
      <c r="S56" s="14" t="s">
        <v>85</v>
      </c>
      <c r="T56" s="14" t="s">
        <v>464</v>
      </c>
    </row>
    <row r="57" spans="1:20" ht="15" customHeight="1">
      <c r="A57" s="42" t="s">
        <v>465</v>
      </c>
      <c r="B57" s="42" t="s">
        <v>299</v>
      </c>
      <c r="C57" s="14" t="s">
        <v>28</v>
      </c>
      <c r="D57" s="14" t="s">
        <v>444</v>
      </c>
      <c r="E57" s="14" t="s">
        <v>459</v>
      </c>
      <c r="F57" s="42" t="s">
        <v>466</v>
      </c>
      <c r="G57" s="14"/>
      <c r="H57" s="42" t="s">
        <v>13</v>
      </c>
      <c r="I57" s="14" t="s">
        <v>13</v>
      </c>
      <c r="J57" s="42" t="s">
        <v>47</v>
      </c>
      <c r="K57" s="59">
        <v>1</v>
      </c>
      <c r="L57" s="15"/>
      <c r="M57" s="14" t="s">
        <v>312</v>
      </c>
      <c r="N57" s="14" t="s">
        <v>24</v>
      </c>
      <c r="O57" s="14" t="s">
        <v>348</v>
      </c>
      <c r="P57" s="14"/>
      <c r="Q57" s="14" t="s">
        <v>315</v>
      </c>
      <c r="R57" s="14" t="s">
        <v>342</v>
      </c>
    </row>
    <row r="58" spans="1:20" ht="15" customHeight="1">
      <c r="A58" s="42" t="s">
        <v>70</v>
      </c>
      <c r="B58" s="42" t="s">
        <v>299</v>
      </c>
      <c r="C58" s="14" t="s">
        <v>28</v>
      </c>
      <c r="D58" s="14" t="s">
        <v>444</v>
      </c>
      <c r="E58" s="14" t="s">
        <v>459</v>
      </c>
      <c r="F58" s="42" t="s">
        <v>467</v>
      </c>
      <c r="G58" s="14"/>
      <c r="H58" s="42" t="s">
        <v>13</v>
      </c>
      <c r="I58" s="14" t="s">
        <v>13</v>
      </c>
      <c r="J58" s="42" t="s">
        <v>47</v>
      </c>
      <c r="K58" s="59">
        <v>1</v>
      </c>
      <c r="L58" s="15"/>
      <c r="M58" s="14" t="s">
        <v>312</v>
      </c>
      <c r="N58" s="14" t="s">
        <v>24</v>
      </c>
      <c r="O58" s="14" t="s">
        <v>348</v>
      </c>
      <c r="P58" s="14"/>
      <c r="Q58" s="60" t="s">
        <v>301</v>
      </c>
      <c r="R58" s="14" t="s">
        <v>342</v>
      </c>
      <c r="S58" s="14" t="s">
        <v>68</v>
      </c>
      <c r="T58" s="14" t="s">
        <v>468</v>
      </c>
    </row>
    <row r="59" spans="1:20" ht="15" customHeight="1">
      <c r="A59" s="58" t="s">
        <v>469</v>
      </c>
      <c r="B59" s="58" t="s">
        <v>299</v>
      </c>
      <c r="C59" s="14" t="s">
        <v>28</v>
      </c>
      <c r="D59" s="14" t="s">
        <v>444</v>
      </c>
      <c r="E59" s="14" t="s">
        <v>459</v>
      </c>
      <c r="F59" s="58" t="s">
        <v>470</v>
      </c>
      <c r="G59" s="14"/>
      <c r="H59" s="58" t="s">
        <v>296</v>
      </c>
      <c r="I59" s="14" t="s">
        <v>11</v>
      </c>
      <c r="J59" s="58" t="s">
        <v>12</v>
      </c>
      <c r="K59" s="59">
        <v>0.5</v>
      </c>
      <c r="L59" s="15"/>
      <c r="M59" s="14" t="s">
        <v>312</v>
      </c>
      <c r="N59" s="14" t="s">
        <v>24</v>
      </c>
      <c r="O59" s="14" t="s">
        <v>348</v>
      </c>
      <c r="P59" s="14"/>
      <c r="Q59" s="61" t="s">
        <v>306</v>
      </c>
      <c r="R59" s="14" t="s">
        <v>342</v>
      </c>
      <c r="S59" s="14" t="s">
        <v>471</v>
      </c>
      <c r="T59" s="14" t="s">
        <v>472</v>
      </c>
    </row>
    <row r="60" spans="1:20" ht="30" customHeight="1">
      <c r="A60" s="21" t="s">
        <v>290</v>
      </c>
      <c r="B60" s="21" t="s">
        <v>286</v>
      </c>
      <c r="C60" s="21" t="s">
        <v>28</v>
      </c>
      <c r="D60" s="21" t="s">
        <v>290</v>
      </c>
      <c r="E60" s="21"/>
      <c r="F60" s="21" t="s">
        <v>473</v>
      </c>
      <c r="G60" s="21" t="s">
        <v>474</v>
      </c>
      <c r="H60" s="21"/>
      <c r="I60" s="21"/>
      <c r="J60" s="21"/>
      <c r="K60" s="50">
        <f>SUMIFS($K:$K,$D:$D,A60,$B:$B,"Sous-tâche")</f>
        <v>15</v>
      </c>
      <c r="L60" s="51">
        <f>SUMIFS($L:$L,$D:$D,A60,$B:$B,"Story")</f>
        <v>26</v>
      </c>
      <c r="M60" s="21" t="s">
        <v>289</v>
      </c>
      <c r="N60" s="21"/>
      <c r="O60" s="21"/>
      <c r="P60" s="21" t="s">
        <v>475</v>
      </c>
      <c r="Q60" s="52" t="str">
        <f>IF(COUNTIFS($D:$D,A60,$B:$B,"Sous-tâche")=0,"To Do",IF(COUNTIFS($D:$D,A60,$B:$B,"Sous-tâche",$Q:$Q,"Done")=COUNTIFS($D:$D,A60,$B:$B,"Sous-tâche"),"Done",IF(COUNTIFS($D:$D,A60,$B:$B,"Sous-tâche",$Q:$Q,"To Do")=COUNTIFS($D:$D,A60,$B:$B,"Sous-tâche"),"To Do","In Progress")))</f>
        <v>In Progress</v>
      </c>
      <c r="R60" s="21" t="s">
        <v>476</v>
      </c>
    </row>
    <row r="61" spans="1:20" ht="90.75" customHeight="1">
      <c r="A61" s="53" t="s">
        <v>477</v>
      </c>
      <c r="B61" s="54" t="s">
        <v>293</v>
      </c>
      <c r="C61" s="14" t="s">
        <v>28</v>
      </c>
      <c r="D61" s="14" t="s">
        <v>290</v>
      </c>
      <c r="E61" s="14" t="s">
        <v>290</v>
      </c>
      <c r="F61" s="53" t="s">
        <v>478</v>
      </c>
      <c r="G61" s="14" t="s">
        <v>479</v>
      </c>
      <c r="H61" s="54" t="s">
        <v>17</v>
      </c>
      <c r="I61" s="14" t="s">
        <v>17</v>
      </c>
      <c r="J61" s="14" t="s">
        <v>18</v>
      </c>
      <c r="K61" s="30">
        <f>SUMIFS($K:$K,$E:$E,A61,$B:$B,"Sous-tâche")</f>
        <v>7</v>
      </c>
      <c r="L61" s="55">
        <v>13</v>
      </c>
      <c r="M61" s="14" t="s">
        <v>289</v>
      </c>
      <c r="N61" s="14" t="s">
        <v>20</v>
      </c>
      <c r="O61" s="14" t="s">
        <v>348</v>
      </c>
      <c r="P61" s="14" t="s">
        <v>475</v>
      </c>
      <c r="Q61" s="57" t="str">
        <f>IF(COUNTIFS($E:$E,A61,$B:$B,"Sous-tâche")=0,"To Do",IF(COUNTIFS($E:$E,A61,$B:$B,"Sous-tâche",$Q:$Q,"Done")=COUNTIFS($E:$E,A61,$B:$B,"Sous-tâche"),"Done",IF(COUNTIFS($E:$E,A61,$B:$B,"Sous-tâche",$Q:$Q,"To Do")=COUNTIFS($E:$E,A61,$B:$B,"Sous-tâche"),"To Do","In Progress")))</f>
        <v>In Progress</v>
      </c>
      <c r="R61" s="14" t="s">
        <v>476</v>
      </c>
    </row>
    <row r="62" spans="1:20" ht="15" customHeight="1">
      <c r="A62" s="62" t="s">
        <v>480</v>
      </c>
      <c r="B62" s="62" t="s">
        <v>299</v>
      </c>
      <c r="C62" s="14" t="s">
        <v>28</v>
      </c>
      <c r="D62" s="14" t="s">
        <v>290</v>
      </c>
      <c r="E62" s="14" t="s">
        <v>477</v>
      </c>
      <c r="F62" s="62" t="s">
        <v>481</v>
      </c>
      <c r="G62" s="14"/>
      <c r="H62" s="62" t="s">
        <v>17</v>
      </c>
      <c r="I62" s="14" t="s">
        <v>17</v>
      </c>
      <c r="J62" s="62" t="s">
        <v>18</v>
      </c>
      <c r="K62" s="59">
        <v>3</v>
      </c>
      <c r="L62" s="15"/>
      <c r="M62" s="14" t="s">
        <v>289</v>
      </c>
      <c r="N62" s="14" t="s">
        <v>20</v>
      </c>
      <c r="O62" s="14" t="s">
        <v>348</v>
      </c>
      <c r="P62" s="14"/>
      <c r="Q62" s="14" t="s">
        <v>315</v>
      </c>
      <c r="R62" s="14" t="s">
        <v>476</v>
      </c>
    </row>
    <row r="63" spans="1:20" ht="15" customHeight="1">
      <c r="A63" s="62" t="s">
        <v>482</v>
      </c>
      <c r="B63" s="62" t="s">
        <v>299</v>
      </c>
      <c r="C63" s="14" t="s">
        <v>28</v>
      </c>
      <c r="D63" s="14" t="s">
        <v>290</v>
      </c>
      <c r="E63" s="14" t="s">
        <v>477</v>
      </c>
      <c r="F63" s="62" t="s">
        <v>483</v>
      </c>
      <c r="G63" s="14"/>
      <c r="H63" s="62" t="s">
        <v>17</v>
      </c>
      <c r="I63" s="14" t="s">
        <v>17</v>
      </c>
      <c r="J63" s="62" t="s">
        <v>18</v>
      </c>
      <c r="K63" s="59">
        <v>2</v>
      </c>
      <c r="L63" s="15"/>
      <c r="M63" s="14" t="s">
        <v>289</v>
      </c>
      <c r="N63" s="14" t="s">
        <v>20</v>
      </c>
      <c r="O63" s="14" t="s">
        <v>348</v>
      </c>
      <c r="P63" s="14"/>
      <c r="Q63" s="61" t="s">
        <v>306</v>
      </c>
      <c r="R63" s="14" t="s">
        <v>476</v>
      </c>
      <c r="S63" s="14" t="s">
        <v>45</v>
      </c>
      <c r="T63" s="14" t="s">
        <v>484</v>
      </c>
    </row>
    <row r="64" spans="1:20" ht="15" customHeight="1">
      <c r="A64" s="62" t="s">
        <v>485</v>
      </c>
      <c r="B64" s="62" t="s">
        <v>299</v>
      </c>
      <c r="C64" s="14" t="s">
        <v>28</v>
      </c>
      <c r="D64" s="14" t="s">
        <v>290</v>
      </c>
      <c r="E64" s="14" t="s">
        <v>477</v>
      </c>
      <c r="F64" s="62" t="s">
        <v>486</v>
      </c>
      <c r="G64" s="14"/>
      <c r="H64" s="62" t="s">
        <v>17</v>
      </c>
      <c r="I64" s="14" t="s">
        <v>17</v>
      </c>
      <c r="J64" s="62" t="s">
        <v>18</v>
      </c>
      <c r="K64" s="59">
        <v>2</v>
      </c>
      <c r="L64" s="15"/>
      <c r="M64" s="14" t="s">
        <v>289</v>
      </c>
      <c r="N64" s="14" t="s">
        <v>20</v>
      </c>
      <c r="O64" s="14" t="s">
        <v>348</v>
      </c>
      <c r="P64" s="14"/>
      <c r="Q64" s="14" t="s">
        <v>315</v>
      </c>
      <c r="R64" s="14" t="s">
        <v>476</v>
      </c>
    </row>
    <row r="65" spans="1:20" ht="103.5" customHeight="1">
      <c r="A65" s="53" t="s">
        <v>487</v>
      </c>
      <c r="B65" s="54" t="s">
        <v>293</v>
      </c>
      <c r="C65" s="14" t="s">
        <v>28</v>
      </c>
      <c r="D65" s="14" t="s">
        <v>290</v>
      </c>
      <c r="E65" s="14" t="s">
        <v>290</v>
      </c>
      <c r="F65" s="53" t="s">
        <v>488</v>
      </c>
      <c r="G65" s="14" t="s">
        <v>489</v>
      </c>
      <c r="H65" s="54" t="s">
        <v>490</v>
      </c>
      <c r="I65" s="14" t="s">
        <v>491</v>
      </c>
      <c r="J65" s="14" t="s">
        <v>18</v>
      </c>
      <c r="K65" s="30">
        <f>SUMIFS($K:$K,$E:$E,A65,$B:$B,"Sous-tâche")</f>
        <v>8</v>
      </c>
      <c r="L65" s="55">
        <v>13</v>
      </c>
      <c r="M65" s="14" t="s">
        <v>312</v>
      </c>
      <c r="N65" s="14" t="s">
        <v>22</v>
      </c>
      <c r="O65" s="14" t="s">
        <v>348</v>
      </c>
      <c r="P65" s="14" t="s">
        <v>475</v>
      </c>
      <c r="Q65" s="57" t="str">
        <f>IF(COUNTIFS($E:$E,A65,$B:$B,"Sous-tâche")=0,"To Do",IF(COUNTIFS($E:$E,A65,$B:$B,"Sous-tâche",$Q:$Q,"Done")=COUNTIFS($E:$E,A65,$B:$B,"Sous-tâche"),"Done",IF(COUNTIFS($E:$E,A65,$B:$B,"Sous-tâche",$Q:$Q,"To Do")=COUNTIFS($E:$E,A65,$B:$B,"Sous-tâche"),"To Do","In Progress")))</f>
        <v>To Do</v>
      </c>
      <c r="R65" s="14" t="s">
        <v>476</v>
      </c>
    </row>
    <row r="66" spans="1:20" ht="15" customHeight="1">
      <c r="A66" s="62" t="s">
        <v>492</v>
      </c>
      <c r="B66" s="62" t="s">
        <v>299</v>
      </c>
      <c r="C66" s="14" t="s">
        <v>28</v>
      </c>
      <c r="D66" s="14" t="s">
        <v>290</v>
      </c>
      <c r="E66" s="14" t="s">
        <v>487</v>
      </c>
      <c r="F66" s="62" t="s">
        <v>493</v>
      </c>
      <c r="G66" s="14"/>
      <c r="H66" s="62" t="s">
        <v>17</v>
      </c>
      <c r="I66" s="14" t="s">
        <v>17</v>
      </c>
      <c r="J66" s="62" t="s">
        <v>18</v>
      </c>
      <c r="K66" s="59">
        <v>3</v>
      </c>
      <c r="L66" s="15"/>
      <c r="M66" s="14" t="s">
        <v>312</v>
      </c>
      <c r="N66" s="14" t="s">
        <v>22</v>
      </c>
      <c r="O66" s="14" t="s">
        <v>348</v>
      </c>
      <c r="P66" s="14"/>
      <c r="Q66" s="14" t="s">
        <v>315</v>
      </c>
      <c r="R66" s="14" t="s">
        <v>476</v>
      </c>
    </row>
    <row r="67" spans="1:20" ht="15" customHeight="1">
      <c r="A67" s="62" t="s">
        <v>494</v>
      </c>
      <c r="B67" s="62" t="s">
        <v>299</v>
      </c>
      <c r="C67" s="14" t="s">
        <v>28</v>
      </c>
      <c r="D67" s="14" t="s">
        <v>290</v>
      </c>
      <c r="E67" s="14" t="s">
        <v>487</v>
      </c>
      <c r="F67" s="62" t="s">
        <v>495</v>
      </c>
      <c r="G67" s="14"/>
      <c r="H67" s="62" t="s">
        <v>17</v>
      </c>
      <c r="I67" s="14" t="s">
        <v>17</v>
      </c>
      <c r="J67" s="62" t="s">
        <v>18</v>
      </c>
      <c r="K67" s="59">
        <v>3</v>
      </c>
      <c r="L67" s="15"/>
      <c r="M67" s="14" t="s">
        <v>312</v>
      </c>
      <c r="N67" s="14" t="s">
        <v>22</v>
      </c>
      <c r="O67" s="14" t="s">
        <v>348</v>
      </c>
      <c r="P67" s="14"/>
      <c r="Q67" s="14" t="s">
        <v>315</v>
      </c>
      <c r="R67" s="14" t="s">
        <v>476</v>
      </c>
    </row>
    <row r="68" spans="1:20" ht="15" customHeight="1">
      <c r="A68" s="58" t="s">
        <v>496</v>
      </c>
      <c r="B68" s="58" t="s">
        <v>299</v>
      </c>
      <c r="C68" s="14" t="s">
        <v>28</v>
      </c>
      <c r="D68" s="14" t="s">
        <v>290</v>
      </c>
      <c r="E68" s="14" t="s">
        <v>487</v>
      </c>
      <c r="F68" s="58" t="s">
        <v>497</v>
      </c>
      <c r="G68" s="14"/>
      <c r="H68" s="58" t="s">
        <v>296</v>
      </c>
      <c r="I68" s="14" t="s">
        <v>11</v>
      </c>
      <c r="J68" s="58" t="s">
        <v>12</v>
      </c>
      <c r="K68" s="59">
        <v>1</v>
      </c>
      <c r="L68" s="15"/>
      <c r="M68" s="14" t="s">
        <v>312</v>
      </c>
      <c r="N68" s="14" t="s">
        <v>22</v>
      </c>
      <c r="O68" s="14" t="s">
        <v>348</v>
      </c>
      <c r="P68" s="14"/>
      <c r="Q68" s="14" t="s">
        <v>315</v>
      </c>
      <c r="R68" s="14" t="s">
        <v>476</v>
      </c>
    </row>
    <row r="69" spans="1:20" ht="15" customHeight="1">
      <c r="A69" s="42" t="s">
        <v>498</v>
      </c>
      <c r="B69" s="42" t="s">
        <v>299</v>
      </c>
      <c r="C69" s="14" t="s">
        <v>28</v>
      </c>
      <c r="D69" s="14" t="s">
        <v>290</v>
      </c>
      <c r="E69" s="14" t="s">
        <v>487</v>
      </c>
      <c r="F69" s="42" t="s">
        <v>499</v>
      </c>
      <c r="G69" s="14"/>
      <c r="H69" s="42" t="s">
        <v>13</v>
      </c>
      <c r="I69" s="14" t="s">
        <v>13</v>
      </c>
      <c r="J69" s="42" t="s">
        <v>47</v>
      </c>
      <c r="K69" s="59">
        <v>1</v>
      </c>
      <c r="L69" s="15"/>
      <c r="M69" s="14" t="s">
        <v>312</v>
      </c>
      <c r="N69" s="14" t="s">
        <v>22</v>
      </c>
      <c r="O69" s="14" t="s">
        <v>348</v>
      </c>
      <c r="P69" s="14"/>
      <c r="Q69" s="14" t="s">
        <v>315</v>
      </c>
      <c r="R69" s="14" t="s">
        <v>476</v>
      </c>
    </row>
    <row r="70" spans="1:20" ht="30" customHeight="1">
      <c r="A70" s="21" t="s">
        <v>500</v>
      </c>
      <c r="B70" s="21" t="s">
        <v>286</v>
      </c>
      <c r="C70" s="21" t="s">
        <v>28</v>
      </c>
      <c r="D70" s="21" t="s">
        <v>500</v>
      </c>
      <c r="E70" s="21"/>
      <c r="F70" s="21" t="s">
        <v>501</v>
      </c>
      <c r="G70" s="21" t="s">
        <v>502</v>
      </c>
      <c r="H70" s="21"/>
      <c r="I70" s="21"/>
      <c r="J70" s="21"/>
      <c r="K70" s="50">
        <f>SUMIFS($K:$K,$D:$D,A70,$B:$B,"Sous-tâche")</f>
        <v>24</v>
      </c>
      <c r="L70" s="51">
        <f>SUMIFS($L:$L,$D:$D,A70,$B:$B,"Story")</f>
        <v>39</v>
      </c>
      <c r="M70" s="21" t="s">
        <v>289</v>
      </c>
      <c r="N70" s="21"/>
      <c r="O70" s="21"/>
      <c r="P70" s="21" t="s">
        <v>503</v>
      </c>
      <c r="Q70" s="52" t="str">
        <f>IF(COUNTIFS($D:$D,A70,$B:$B,"Sous-tâche")=0,"To Do",IF(COUNTIFS($D:$D,A70,$B:$B,"Sous-tâche",$Q:$Q,"Done")=COUNTIFS($D:$D,A70,$B:$B,"Sous-tâche"),"Done",IF(COUNTIFS($D:$D,A70,$B:$B,"Sous-tâche",$Q:$Q,"To Do")=COUNTIFS($D:$D,A70,$B:$B,"Sous-tâche"),"To Do","In Progress")))</f>
        <v>In Progress</v>
      </c>
      <c r="R70" s="21" t="s">
        <v>504</v>
      </c>
    </row>
    <row r="71" spans="1:20" ht="103.5" customHeight="1">
      <c r="A71" s="53" t="s">
        <v>505</v>
      </c>
      <c r="B71" s="54" t="s">
        <v>293</v>
      </c>
      <c r="C71" s="14" t="s">
        <v>28</v>
      </c>
      <c r="D71" s="14" t="s">
        <v>500</v>
      </c>
      <c r="E71" s="14" t="s">
        <v>500</v>
      </c>
      <c r="F71" s="53" t="s">
        <v>506</v>
      </c>
      <c r="G71" s="14" t="s">
        <v>507</v>
      </c>
      <c r="H71" s="54" t="s">
        <v>346</v>
      </c>
      <c r="I71" s="14" t="s">
        <v>347</v>
      </c>
      <c r="J71" s="14" t="s">
        <v>47</v>
      </c>
      <c r="K71" s="30">
        <f>SUMIFS($K:$K,$E:$E,A71,$B:$B,"Sous-tâche")</f>
        <v>3.5</v>
      </c>
      <c r="L71" s="55">
        <v>8</v>
      </c>
      <c r="M71" s="14" t="s">
        <v>289</v>
      </c>
      <c r="N71" s="14" t="s">
        <v>21</v>
      </c>
      <c r="O71" s="56" t="s">
        <v>297</v>
      </c>
      <c r="P71" s="14" t="s">
        <v>503</v>
      </c>
      <c r="Q71" s="57" t="str">
        <f>IF(COUNTIFS($E:$E,A71,$B:$B,"Sous-tâche")=0,"To Do",IF(COUNTIFS($E:$E,A71,$B:$B,"Sous-tâche",$Q:$Q,"Done")=COUNTIFS($E:$E,A71,$B:$B,"Sous-tâche"),"Done",IF(COUNTIFS($E:$E,A71,$B:$B,"Sous-tâche",$Q:$Q,"To Do")=COUNTIFS($E:$E,A71,$B:$B,"Sous-tâche"),"To Do","In Progress")))</f>
        <v>In Progress</v>
      </c>
      <c r="R71" s="14" t="s">
        <v>504</v>
      </c>
    </row>
    <row r="72" spans="1:20" ht="15" customHeight="1">
      <c r="A72" s="42" t="s">
        <v>508</v>
      </c>
      <c r="B72" s="42" t="s">
        <v>299</v>
      </c>
      <c r="C72" s="14" t="s">
        <v>28</v>
      </c>
      <c r="D72" s="14" t="s">
        <v>500</v>
      </c>
      <c r="E72" s="14" t="s">
        <v>505</v>
      </c>
      <c r="F72" s="42" t="s">
        <v>509</v>
      </c>
      <c r="G72" s="14"/>
      <c r="H72" s="42" t="s">
        <v>13</v>
      </c>
      <c r="I72" s="14" t="s">
        <v>13</v>
      </c>
      <c r="J72" s="42" t="s">
        <v>47</v>
      </c>
      <c r="K72" s="59">
        <v>2</v>
      </c>
      <c r="L72" s="15"/>
      <c r="M72" s="14" t="s">
        <v>289</v>
      </c>
      <c r="N72" s="14" t="s">
        <v>21</v>
      </c>
      <c r="O72" s="56" t="s">
        <v>297</v>
      </c>
      <c r="P72" s="14"/>
      <c r="Q72" s="61" t="s">
        <v>306</v>
      </c>
      <c r="R72" s="14" t="s">
        <v>504</v>
      </c>
      <c r="S72" s="14" t="s">
        <v>510</v>
      </c>
      <c r="T72" s="14" t="s">
        <v>511</v>
      </c>
    </row>
    <row r="73" spans="1:20" ht="15" customHeight="1">
      <c r="A73" s="58" t="s">
        <v>512</v>
      </c>
      <c r="B73" s="58" t="s">
        <v>299</v>
      </c>
      <c r="C73" s="14" t="s">
        <v>28</v>
      </c>
      <c r="D73" s="14" t="s">
        <v>500</v>
      </c>
      <c r="E73" s="14" t="s">
        <v>505</v>
      </c>
      <c r="F73" s="58" t="s">
        <v>513</v>
      </c>
      <c r="G73" s="14"/>
      <c r="H73" s="58" t="s">
        <v>296</v>
      </c>
      <c r="I73" s="14" t="s">
        <v>11</v>
      </c>
      <c r="J73" s="58" t="s">
        <v>12</v>
      </c>
      <c r="K73" s="59">
        <v>1.5</v>
      </c>
      <c r="L73" s="15"/>
      <c r="M73" s="14" t="s">
        <v>289</v>
      </c>
      <c r="N73" s="14" t="s">
        <v>21</v>
      </c>
      <c r="O73" s="56" t="s">
        <v>297</v>
      </c>
      <c r="P73" s="14"/>
      <c r="Q73" s="14" t="s">
        <v>315</v>
      </c>
      <c r="R73" s="14" t="s">
        <v>504</v>
      </c>
    </row>
    <row r="74" spans="1:20" ht="103.5" customHeight="1">
      <c r="A74" s="53" t="s">
        <v>514</v>
      </c>
      <c r="B74" s="54" t="s">
        <v>293</v>
      </c>
      <c r="C74" s="14" t="s">
        <v>28</v>
      </c>
      <c r="D74" s="14" t="s">
        <v>500</v>
      </c>
      <c r="E74" s="14" t="s">
        <v>500</v>
      </c>
      <c r="F74" s="53" t="s">
        <v>515</v>
      </c>
      <c r="G74" s="14" t="s">
        <v>516</v>
      </c>
      <c r="H74" s="54" t="s">
        <v>346</v>
      </c>
      <c r="I74" s="14" t="s">
        <v>347</v>
      </c>
      <c r="J74" s="14" t="s">
        <v>47</v>
      </c>
      <c r="K74" s="30">
        <f>SUMIFS($K:$K,$E:$E,A74,$B:$B,"Sous-tâche")</f>
        <v>6.5</v>
      </c>
      <c r="L74" s="55">
        <v>8</v>
      </c>
      <c r="M74" s="14" t="s">
        <v>289</v>
      </c>
      <c r="N74" s="14" t="s">
        <v>21</v>
      </c>
      <c r="O74" s="56" t="s">
        <v>297</v>
      </c>
      <c r="P74" s="14" t="s">
        <v>503</v>
      </c>
      <c r="Q74" s="57" t="str">
        <f>IF(COUNTIFS($E:$E,A74,$B:$B,"Sous-tâche")=0,"To Do",IF(COUNTIFS($E:$E,A74,$B:$B,"Sous-tâche",$Q:$Q,"Done")=COUNTIFS($E:$E,A74,$B:$B,"Sous-tâche"),"Done",IF(COUNTIFS($E:$E,A74,$B:$B,"Sous-tâche",$Q:$Q,"To Do")=COUNTIFS($E:$E,A74,$B:$B,"Sous-tâche"),"To Do","In Progress")))</f>
        <v>In Progress</v>
      </c>
      <c r="R74" s="14" t="s">
        <v>504</v>
      </c>
    </row>
    <row r="75" spans="1:20" ht="15" customHeight="1">
      <c r="A75" s="42" t="s">
        <v>517</v>
      </c>
      <c r="B75" s="42" t="s">
        <v>299</v>
      </c>
      <c r="C75" s="14" t="s">
        <v>28</v>
      </c>
      <c r="D75" s="14" t="s">
        <v>500</v>
      </c>
      <c r="E75" s="14" t="s">
        <v>514</v>
      </c>
      <c r="F75" s="42" t="s">
        <v>518</v>
      </c>
      <c r="G75" s="14"/>
      <c r="H75" s="42" t="s">
        <v>13</v>
      </c>
      <c r="I75" s="14" t="s">
        <v>13</v>
      </c>
      <c r="J75" s="42" t="s">
        <v>47</v>
      </c>
      <c r="K75" s="59">
        <v>2</v>
      </c>
      <c r="L75" s="15"/>
      <c r="M75" s="14" t="s">
        <v>289</v>
      </c>
      <c r="N75" s="14" t="s">
        <v>21</v>
      </c>
      <c r="O75" s="56" t="s">
        <v>297</v>
      </c>
      <c r="P75" s="14"/>
      <c r="Q75" s="60" t="s">
        <v>301</v>
      </c>
      <c r="R75" s="14" t="s">
        <v>504</v>
      </c>
      <c r="S75" s="14" t="s">
        <v>519</v>
      </c>
      <c r="T75" s="14" t="s">
        <v>520</v>
      </c>
    </row>
    <row r="76" spans="1:20" ht="15" customHeight="1">
      <c r="A76" s="42" t="s">
        <v>521</v>
      </c>
      <c r="B76" s="42" t="s">
        <v>299</v>
      </c>
      <c r="C76" s="14" t="s">
        <v>28</v>
      </c>
      <c r="D76" s="14" t="s">
        <v>500</v>
      </c>
      <c r="E76" s="14" t="s">
        <v>514</v>
      </c>
      <c r="F76" s="42" t="s">
        <v>522</v>
      </c>
      <c r="G76" s="14"/>
      <c r="H76" s="42" t="s">
        <v>13</v>
      </c>
      <c r="I76" s="14" t="s">
        <v>13</v>
      </c>
      <c r="J76" s="42" t="s">
        <v>47</v>
      </c>
      <c r="K76" s="59">
        <v>0.5</v>
      </c>
      <c r="L76" s="15"/>
      <c r="M76" s="14" t="s">
        <v>289</v>
      </c>
      <c r="N76" s="14" t="s">
        <v>21</v>
      </c>
      <c r="O76" s="56" t="s">
        <v>297</v>
      </c>
      <c r="P76" s="14"/>
      <c r="Q76" s="60" t="s">
        <v>301</v>
      </c>
      <c r="R76" s="14" t="s">
        <v>504</v>
      </c>
      <c r="S76" s="14" t="s">
        <v>523</v>
      </c>
      <c r="T76" s="14" t="s">
        <v>524</v>
      </c>
    </row>
    <row r="77" spans="1:20" ht="15" customHeight="1">
      <c r="A77" s="58" t="s">
        <v>525</v>
      </c>
      <c r="B77" s="58" t="s">
        <v>299</v>
      </c>
      <c r="C77" s="14" t="s">
        <v>28</v>
      </c>
      <c r="D77" s="14" t="s">
        <v>500</v>
      </c>
      <c r="E77" s="14" t="s">
        <v>514</v>
      </c>
      <c r="F77" s="58" t="s">
        <v>526</v>
      </c>
      <c r="G77" s="14"/>
      <c r="H77" s="58" t="s">
        <v>296</v>
      </c>
      <c r="I77" s="14" t="s">
        <v>11</v>
      </c>
      <c r="J77" s="58" t="s">
        <v>12</v>
      </c>
      <c r="K77" s="59">
        <v>2</v>
      </c>
      <c r="L77" s="15"/>
      <c r="M77" s="14" t="s">
        <v>289</v>
      </c>
      <c r="N77" s="14" t="s">
        <v>21</v>
      </c>
      <c r="O77" s="56" t="s">
        <v>297</v>
      </c>
      <c r="P77" s="14"/>
      <c r="Q77" s="14" t="s">
        <v>315</v>
      </c>
      <c r="R77" s="14" t="s">
        <v>504</v>
      </c>
    </row>
    <row r="78" spans="1:20" ht="103.5" customHeight="1">
      <c r="A78" s="53" t="s">
        <v>527</v>
      </c>
      <c r="B78" s="54" t="s">
        <v>293</v>
      </c>
      <c r="C78" s="14" t="s">
        <v>28</v>
      </c>
      <c r="D78" s="14" t="s">
        <v>500</v>
      </c>
      <c r="E78" s="14" t="s">
        <v>500</v>
      </c>
      <c r="F78" s="53" t="s">
        <v>528</v>
      </c>
      <c r="G78" s="14" t="s">
        <v>529</v>
      </c>
      <c r="H78" s="54" t="s">
        <v>346</v>
      </c>
      <c r="I78" s="14" t="s">
        <v>347</v>
      </c>
      <c r="J78" s="14" t="s">
        <v>47</v>
      </c>
      <c r="K78" s="30">
        <f>SUMIFS($K:$K,$E:$E,A78,$B:$B,"Sous-tâche")</f>
        <v>3.5</v>
      </c>
      <c r="L78" s="55">
        <v>5</v>
      </c>
      <c r="M78" s="14" t="s">
        <v>289</v>
      </c>
      <c r="N78" s="14" t="s">
        <v>22</v>
      </c>
      <c r="O78" s="56" t="s">
        <v>297</v>
      </c>
      <c r="P78" s="14" t="s">
        <v>503</v>
      </c>
      <c r="Q78" s="57" t="str">
        <f>IF(COUNTIFS($E:$E,A78,$B:$B,"Sous-tâche")=0,"To Do",IF(COUNTIFS($E:$E,A78,$B:$B,"Sous-tâche",$Q:$Q,"Done")=COUNTIFS($E:$E,A78,$B:$B,"Sous-tâche"),"Done",IF(COUNTIFS($E:$E,A78,$B:$B,"Sous-tâche",$Q:$Q,"To Do")=COUNTIFS($E:$E,A78,$B:$B,"Sous-tâche"),"To Do","In Progress")))</f>
        <v>In Progress</v>
      </c>
      <c r="R78" s="14" t="s">
        <v>504</v>
      </c>
    </row>
    <row r="79" spans="1:20" ht="15" customHeight="1">
      <c r="A79" s="42" t="s">
        <v>530</v>
      </c>
      <c r="B79" s="42" t="s">
        <v>299</v>
      </c>
      <c r="C79" s="14" t="s">
        <v>28</v>
      </c>
      <c r="D79" s="14" t="s">
        <v>500</v>
      </c>
      <c r="E79" s="14" t="s">
        <v>527</v>
      </c>
      <c r="F79" s="42" t="s">
        <v>531</v>
      </c>
      <c r="G79" s="14"/>
      <c r="H79" s="42" t="s">
        <v>13</v>
      </c>
      <c r="I79" s="14" t="s">
        <v>13</v>
      </c>
      <c r="J79" s="42" t="s">
        <v>47</v>
      </c>
      <c r="K79" s="59">
        <v>1.5</v>
      </c>
      <c r="L79" s="15"/>
      <c r="M79" s="14" t="s">
        <v>289</v>
      </c>
      <c r="N79" s="14" t="s">
        <v>22</v>
      </c>
      <c r="O79" s="56" t="s">
        <v>297</v>
      </c>
      <c r="P79" s="14"/>
      <c r="Q79" s="60" t="s">
        <v>301</v>
      </c>
      <c r="R79" s="14" t="s">
        <v>504</v>
      </c>
      <c r="S79" s="14" t="s">
        <v>76</v>
      </c>
      <c r="T79" s="14" t="s">
        <v>532</v>
      </c>
    </row>
    <row r="80" spans="1:20" ht="15" customHeight="1">
      <c r="A80" s="58" t="s">
        <v>533</v>
      </c>
      <c r="B80" s="58" t="s">
        <v>299</v>
      </c>
      <c r="C80" s="14" t="s">
        <v>28</v>
      </c>
      <c r="D80" s="14" t="s">
        <v>500</v>
      </c>
      <c r="E80" s="14" t="s">
        <v>527</v>
      </c>
      <c r="F80" s="58" t="s">
        <v>534</v>
      </c>
      <c r="G80" s="14"/>
      <c r="H80" s="58" t="s">
        <v>296</v>
      </c>
      <c r="I80" s="14" t="s">
        <v>11</v>
      </c>
      <c r="J80" s="58" t="s">
        <v>12</v>
      </c>
      <c r="K80" s="59">
        <v>1</v>
      </c>
      <c r="L80" s="15"/>
      <c r="M80" s="14" t="s">
        <v>289</v>
      </c>
      <c r="N80" s="14" t="s">
        <v>22</v>
      </c>
      <c r="O80" s="56" t="s">
        <v>297</v>
      </c>
      <c r="P80" s="14"/>
      <c r="Q80" s="14" t="s">
        <v>315</v>
      </c>
      <c r="R80" s="14" t="s">
        <v>504</v>
      </c>
    </row>
    <row r="81" spans="1:20" ht="103.5" customHeight="1">
      <c r="A81" s="53" t="s">
        <v>145</v>
      </c>
      <c r="B81" s="54" t="s">
        <v>293</v>
      </c>
      <c r="C81" s="14" t="s">
        <v>28</v>
      </c>
      <c r="D81" s="14" t="s">
        <v>500</v>
      </c>
      <c r="E81" s="14" t="s">
        <v>500</v>
      </c>
      <c r="F81" s="53" t="s">
        <v>535</v>
      </c>
      <c r="G81" s="14" t="s">
        <v>536</v>
      </c>
      <c r="H81" s="54" t="s">
        <v>346</v>
      </c>
      <c r="I81" s="14" t="s">
        <v>347</v>
      </c>
      <c r="J81" s="14" t="s">
        <v>47</v>
      </c>
      <c r="K81" s="30">
        <f>SUMIFS($K:$K,$E:$E,A81,$B:$B,"Sous-tâche")</f>
        <v>4.5</v>
      </c>
      <c r="L81" s="55">
        <v>8</v>
      </c>
      <c r="M81" s="14" t="s">
        <v>289</v>
      </c>
      <c r="N81" s="14" t="s">
        <v>22</v>
      </c>
      <c r="O81" s="56" t="s">
        <v>297</v>
      </c>
      <c r="P81" s="14" t="s">
        <v>503</v>
      </c>
      <c r="Q81" s="57" t="str">
        <f>IF(COUNTIFS($E:$E,A81,$B:$B,"Sous-tâche")=0,"To Do",IF(COUNTIFS($E:$E,A81,$B:$B,"Sous-tâche",$Q:$Q,"Done")=COUNTIFS($E:$E,A81,$B:$B,"Sous-tâche"),"Done",IF(COUNTIFS($E:$E,A81,$B:$B,"Sous-tâche",$Q:$Q,"To Do")=COUNTIFS($E:$E,A81,$B:$B,"Sous-tâche"),"To Do","In Progress")))</f>
        <v>In Progress</v>
      </c>
      <c r="R81" s="14" t="s">
        <v>504</v>
      </c>
    </row>
    <row r="82" spans="1:20" ht="15" customHeight="1">
      <c r="A82" s="42" t="s">
        <v>537</v>
      </c>
      <c r="B82" s="42" t="s">
        <v>299</v>
      </c>
      <c r="C82" s="14" t="s">
        <v>28</v>
      </c>
      <c r="D82" s="14" t="s">
        <v>500</v>
      </c>
      <c r="E82" s="14" t="s">
        <v>145</v>
      </c>
      <c r="F82" s="42" t="s">
        <v>538</v>
      </c>
      <c r="G82" s="14"/>
      <c r="H82" s="42" t="s">
        <v>13</v>
      </c>
      <c r="I82" s="14" t="s">
        <v>13</v>
      </c>
      <c r="J82" s="42" t="s">
        <v>47</v>
      </c>
      <c r="K82" s="59">
        <v>2.5</v>
      </c>
      <c r="L82" s="15"/>
      <c r="M82" s="14" t="s">
        <v>289</v>
      </c>
      <c r="N82" s="14" t="s">
        <v>22</v>
      </c>
      <c r="O82" s="56" t="s">
        <v>297</v>
      </c>
      <c r="P82" s="14"/>
      <c r="Q82" s="60" t="s">
        <v>301</v>
      </c>
      <c r="R82" s="14" t="s">
        <v>504</v>
      </c>
      <c r="S82" s="14" t="s">
        <v>539</v>
      </c>
      <c r="T82" s="14" t="s">
        <v>540</v>
      </c>
    </row>
    <row r="83" spans="1:20" ht="15" customHeight="1">
      <c r="A83" s="42" t="s">
        <v>541</v>
      </c>
      <c r="B83" s="42" t="s">
        <v>299</v>
      </c>
      <c r="C83" s="14" t="s">
        <v>28</v>
      </c>
      <c r="D83" s="14" t="s">
        <v>500</v>
      </c>
      <c r="E83" s="14" t="s">
        <v>145</v>
      </c>
      <c r="F83" s="42" t="s">
        <v>542</v>
      </c>
      <c r="G83" s="14"/>
      <c r="H83" s="42" t="s">
        <v>13</v>
      </c>
      <c r="I83" s="14" t="s">
        <v>13</v>
      </c>
      <c r="J83" s="42" t="s">
        <v>47</v>
      </c>
      <c r="K83" s="59">
        <v>0.5</v>
      </c>
      <c r="L83" s="15"/>
      <c r="M83" s="14" t="s">
        <v>289</v>
      </c>
      <c r="N83" s="14" t="s">
        <v>22</v>
      </c>
      <c r="O83" s="56" t="s">
        <v>297</v>
      </c>
      <c r="P83" s="14"/>
      <c r="Q83" s="60" t="s">
        <v>301</v>
      </c>
      <c r="R83" s="14" t="s">
        <v>504</v>
      </c>
      <c r="S83" s="14" t="s">
        <v>81</v>
      </c>
      <c r="T83" s="14" t="s">
        <v>543</v>
      </c>
    </row>
    <row r="84" spans="1:20" ht="15" customHeight="1">
      <c r="A84" s="58" t="s">
        <v>544</v>
      </c>
      <c r="B84" s="58" t="s">
        <v>299</v>
      </c>
      <c r="C84" s="14" t="s">
        <v>28</v>
      </c>
      <c r="D84" s="14" t="s">
        <v>500</v>
      </c>
      <c r="E84" s="14" t="s">
        <v>145</v>
      </c>
      <c r="F84" s="58" t="s">
        <v>545</v>
      </c>
      <c r="G84" s="14"/>
      <c r="H84" s="58" t="s">
        <v>296</v>
      </c>
      <c r="I84" s="14" t="s">
        <v>11</v>
      </c>
      <c r="J84" s="58" t="s">
        <v>12</v>
      </c>
      <c r="K84" s="59">
        <v>1.5</v>
      </c>
      <c r="L84" s="15"/>
      <c r="M84" s="14" t="s">
        <v>289</v>
      </c>
      <c r="N84" s="14" t="s">
        <v>22</v>
      </c>
      <c r="O84" s="56" t="s">
        <v>297</v>
      </c>
      <c r="P84" s="14"/>
      <c r="Q84" s="14" t="s">
        <v>315</v>
      </c>
      <c r="R84" s="14" t="s">
        <v>504</v>
      </c>
    </row>
    <row r="85" spans="1:20" ht="103.5" customHeight="1">
      <c r="A85" s="53" t="s">
        <v>546</v>
      </c>
      <c r="B85" s="54" t="s">
        <v>293</v>
      </c>
      <c r="C85" s="14" t="s">
        <v>28</v>
      </c>
      <c r="D85" s="14" t="s">
        <v>500</v>
      </c>
      <c r="E85" s="14" t="s">
        <v>500</v>
      </c>
      <c r="F85" s="53" t="s">
        <v>547</v>
      </c>
      <c r="G85" s="14" t="s">
        <v>548</v>
      </c>
      <c r="H85" s="54" t="s">
        <v>346</v>
      </c>
      <c r="I85" s="14" t="s">
        <v>347</v>
      </c>
      <c r="J85" s="14" t="s">
        <v>47</v>
      </c>
      <c r="K85" s="30">
        <f>SUMIFS($K:$K,$E:$E,A85,$B:$B,"Sous-tâche")</f>
        <v>3</v>
      </c>
      <c r="L85" s="55">
        <v>5</v>
      </c>
      <c r="M85" s="14" t="s">
        <v>312</v>
      </c>
      <c r="N85" s="14" t="s">
        <v>25</v>
      </c>
      <c r="O85" s="56" t="s">
        <v>297</v>
      </c>
      <c r="P85" s="14" t="s">
        <v>503</v>
      </c>
      <c r="Q85" s="57" t="str">
        <f>IF(COUNTIFS($E:$E,A85,$B:$B,"Sous-tâche")=0,"To Do",IF(COUNTIFS($E:$E,A85,$B:$B,"Sous-tâche",$Q:$Q,"Done")=COUNTIFS($E:$E,A85,$B:$B,"Sous-tâche"),"Done",IF(COUNTIFS($E:$E,A85,$B:$B,"Sous-tâche",$Q:$Q,"To Do")=COUNTIFS($E:$E,A85,$B:$B,"Sous-tâche"),"To Do","In Progress")))</f>
        <v>In Progress</v>
      </c>
      <c r="R85" s="14" t="s">
        <v>504</v>
      </c>
    </row>
    <row r="86" spans="1:20" ht="15" customHeight="1">
      <c r="A86" s="42" t="s">
        <v>549</v>
      </c>
      <c r="B86" s="42" t="s">
        <v>299</v>
      </c>
      <c r="C86" s="14" t="s">
        <v>28</v>
      </c>
      <c r="D86" s="14" t="s">
        <v>500</v>
      </c>
      <c r="E86" s="14" t="s">
        <v>546</v>
      </c>
      <c r="F86" s="42" t="s">
        <v>550</v>
      </c>
      <c r="G86" s="14"/>
      <c r="H86" s="42" t="s">
        <v>13</v>
      </c>
      <c r="I86" s="14" t="s">
        <v>13</v>
      </c>
      <c r="J86" s="42" t="s">
        <v>47</v>
      </c>
      <c r="K86" s="59">
        <v>1.5</v>
      </c>
      <c r="L86" s="15"/>
      <c r="M86" s="14" t="s">
        <v>312</v>
      </c>
      <c r="N86" s="14" t="s">
        <v>25</v>
      </c>
      <c r="O86" s="56" t="s">
        <v>297</v>
      </c>
      <c r="P86" s="14"/>
      <c r="Q86" s="14" t="s">
        <v>315</v>
      </c>
      <c r="R86" s="14" t="s">
        <v>504</v>
      </c>
    </row>
    <row r="87" spans="1:20" ht="15" customHeight="1">
      <c r="A87" s="42" t="s">
        <v>551</v>
      </c>
      <c r="B87" s="42" t="s">
        <v>299</v>
      </c>
      <c r="C87" s="14" t="s">
        <v>28</v>
      </c>
      <c r="D87" s="14" t="s">
        <v>500</v>
      </c>
      <c r="E87" s="14" t="s">
        <v>546</v>
      </c>
      <c r="F87" s="42" t="s">
        <v>552</v>
      </c>
      <c r="G87" s="14"/>
      <c r="H87" s="42" t="s">
        <v>13</v>
      </c>
      <c r="I87" s="14" t="s">
        <v>13</v>
      </c>
      <c r="J87" s="42" t="s">
        <v>47</v>
      </c>
      <c r="K87" s="59">
        <v>1</v>
      </c>
      <c r="L87" s="15"/>
      <c r="M87" s="14" t="s">
        <v>312</v>
      </c>
      <c r="N87" s="14" t="s">
        <v>25</v>
      </c>
      <c r="O87" s="56" t="s">
        <v>297</v>
      </c>
      <c r="P87" s="14"/>
      <c r="Q87" s="60" t="s">
        <v>301</v>
      </c>
      <c r="R87" s="14" t="s">
        <v>504</v>
      </c>
      <c r="S87" s="14" t="s">
        <v>102</v>
      </c>
      <c r="T87" s="14" t="s">
        <v>553</v>
      </c>
    </row>
    <row r="88" spans="1:20" ht="15" customHeight="1">
      <c r="A88" s="58" t="s">
        <v>554</v>
      </c>
      <c r="B88" s="58" t="s">
        <v>299</v>
      </c>
      <c r="C88" s="14" t="s">
        <v>28</v>
      </c>
      <c r="D88" s="14" t="s">
        <v>500</v>
      </c>
      <c r="E88" s="14" t="s">
        <v>546</v>
      </c>
      <c r="F88" s="58" t="s">
        <v>555</v>
      </c>
      <c r="G88" s="14"/>
      <c r="H88" s="58" t="s">
        <v>296</v>
      </c>
      <c r="I88" s="14" t="s">
        <v>11</v>
      </c>
      <c r="J88" s="58" t="s">
        <v>12</v>
      </c>
      <c r="K88" s="59">
        <v>0.5</v>
      </c>
      <c r="L88" s="15"/>
      <c r="M88" s="14" t="s">
        <v>312</v>
      </c>
      <c r="N88" s="14" t="s">
        <v>25</v>
      </c>
      <c r="O88" s="56" t="s">
        <v>297</v>
      </c>
      <c r="P88" s="14"/>
      <c r="Q88" s="14" t="s">
        <v>315</v>
      </c>
      <c r="R88" s="14" t="s">
        <v>504</v>
      </c>
    </row>
    <row r="89" spans="1:20" ht="103.5" customHeight="1">
      <c r="A89" s="53" t="s">
        <v>556</v>
      </c>
      <c r="B89" s="54" t="s">
        <v>293</v>
      </c>
      <c r="C89" s="14" t="s">
        <v>28</v>
      </c>
      <c r="D89" s="14" t="s">
        <v>500</v>
      </c>
      <c r="E89" s="14" t="s">
        <v>500</v>
      </c>
      <c r="F89" s="53" t="s">
        <v>557</v>
      </c>
      <c r="G89" s="14" t="s">
        <v>558</v>
      </c>
      <c r="H89" s="54" t="s">
        <v>333</v>
      </c>
      <c r="I89" s="14" t="s">
        <v>11</v>
      </c>
      <c r="J89" s="14" t="s">
        <v>12</v>
      </c>
      <c r="K89" s="30">
        <f>SUMIFS($K:$K,$E:$E,A89,$B:$B,"Sous-tâche")</f>
        <v>3</v>
      </c>
      <c r="L89" s="55">
        <v>5</v>
      </c>
      <c r="M89" s="14" t="s">
        <v>289</v>
      </c>
      <c r="N89" s="14" t="s">
        <v>242</v>
      </c>
      <c r="O89" s="56" t="s">
        <v>297</v>
      </c>
      <c r="P89" s="14" t="s">
        <v>503</v>
      </c>
      <c r="Q89" s="57" t="str">
        <f>IF(COUNTIFS($E:$E,A89,$B:$B,"Sous-tâche")=0,"To Do",IF(COUNTIFS($E:$E,A89,$B:$B,"Sous-tâche",$Q:$Q,"Done")=COUNTIFS($E:$E,A89,$B:$B,"Sous-tâche"),"Done",IF(COUNTIFS($E:$E,A89,$B:$B,"Sous-tâche",$Q:$Q,"To Do")=COUNTIFS($E:$E,A89,$B:$B,"Sous-tâche"),"To Do","In Progress")))</f>
        <v>To Do</v>
      </c>
      <c r="R89" s="14" t="s">
        <v>504</v>
      </c>
    </row>
    <row r="90" spans="1:20" ht="15" customHeight="1">
      <c r="A90" s="63" t="s">
        <v>559</v>
      </c>
      <c r="B90" s="63" t="s">
        <v>299</v>
      </c>
      <c r="C90" s="14" t="s">
        <v>28</v>
      </c>
      <c r="D90" s="14" t="s">
        <v>500</v>
      </c>
      <c r="E90" s="14" t="s">
        <v>556</v>
      </c>
      <c r="F90" s="63" t="s">
        <v>560</v>
      </c>
      <c r="G90" s="14"/>
      <c r="H90" s="63" t="s">
        <v>333</v>
      </c>
      <c r="I90" s="14" t="s">
        <v>11</v>
      </c>
      <c r="J90" s="58" t="s">
        <v>12</v>
      </c>
      <c r="K90" s="59">
        <v>3</v>
      </c>
      <c r="L90" s="15"/>
      <c r="M90" s="14" t="s">
        <v>289</v>
      </c>
      <c r="N90" s="14" t="s">
        <v>242</v>
      </c>
      <c r="O90" s="56" t="s">
        <v>297</v>
      </c>
      <c r="P90" s="14"/>
      <c r="Q90" s="14" t="s">
        <v>315</v>
      </c>
      <c r="R90" s="14" t="s">
        <v>504</v>
      </c>
    </row>
    <row r="91" spans="1:20" ht="30" customHeight="1">
      <c r="A91" s="21" t="s">
        <v>561</v>
      </c>
      <c r="B91" s="21" t="s">
        <v>286</v>
      </c>
      <c r="C91" s="21" t="s">
        <v>28</v>
      </c>
      <c r="D91" s="21" t="s">
        <v>561</v>
      </c>
      <c r="E91" s="21"/>
      <c r="F91" s="21" t="s">
        <v>562</v>
      </c>
      <c r="G91" s="21" t="s">
        <v>563</v>
      </c>
      <c r="H91" s="21"/>
      <c r="I91" s="21"/>
      <c r="J91" s="21"/>
      <c r="K91" s="50">
        <f>SUMIFS($K:$K,$D:$D,A91,$B:$B,"Sous-tâche")</f>
        <v>33.5</v>
      </c>
      <c r="L91" s="51">
        <f>SUMIFS($L:$L,$D:$D,A91,$B:$B,"Story")</f>
        <v>65</v>
      </c>
      <c r="M91" s="21" t="s">
        <v>289</v>
      </c>
      <c r="N91" s="21"/>
      <c r="O91" s="21"/>
      <c r="P91" s="21" t="s">
        <v>447</v>
      </c>
      <c r="Q91" s="52" t="str">
        <f>IF(COUNTIFS($D:$D,A91,$B:$B,"Sous-tâche")=0,"To Do",IF(COUNTIFS($D:$D,A91,$B:$B,"Sous-tâche",$Q:$Q,"Done")=COUNTIFS($D:$D,A91,$B:$B,"Sous-tâche"),"Done",IF(COUNTIFS($D:$D,A91,$B:$B,"Sous-tâche",$Q:$Q,"To Do")=COUNTIFS($D:$D,A91,$B:$B,"Sous-tâche"),"To Do","In Progress")))</f>
        <v>To Do</v>
      </c>
      <c r="R91" s="21" t="s">
        <v>564</v>
      </c>
    </row>
    <row r="92" spans="1:20" ht="117" customHeight="1">
      <c r="A92" s="53" t="s">
        <v>565</v>
      </c>
      <c r="B92" s="54" t="s">
        <v>293</v>
      </c>
      <c r="C92" s="14" t="s">
        <v>28</v>
      </c>
      <c r="D92" s="14" t="s">
        <v>561</v>
      </c>
      <c r="E92" s="14" t="s">
        <v>561</v>
      </c>
      <c r="F92" s="53" t="s">
        <v>566</v>
      </c>
      <c r="G92" s="14" t="s">
        <v>567</v>
      </c>
      <c r="H92" s="54" t="s">
        <v>346</v>
      </c>
      <c r="I92" s="14" t="s">
        <v>347</v>
      </c>
      <c r="J92" s="14" t="s">
        <v>47</v>
      </c>
      <c r="K92" s="30">
        <f>SUMIFS($K:$K,$E:$E,A92,$B:$B,"Sous-tâche")</f>
        <v>8</v>
      </c>
      <c r="L92" s="55">
        <v>13</v>
      </c>
      <c r="M92" s="14" t="s">
        <v>289</v>
      </c>
      <c r="N92" s="14" t="s">
        <v>22</v>
      </c>
      <c r="O92" s="14" t="s">
        <v>348</v>
      </c>
      <c r="P92" s="14" t="s">
        <v>447</v>
      </c>
      <c r="Q92" s="57" t="str">
        <f>IF(COUNTIFS($E:$E,A92,$B:$B,"Sous-tâche")=0,"To Do",IF(COUNTIFS($E:$E,A92,$B:$B,"Sous-tâche",$Q:$Q,"Done")=COUNTIFS($E:$E,A92,$B:$B,"Sous-tâche"),"Done",IF(COUNTIFS($E:$E,A92,$B:$B,"Sous-tâche",$Q:$Q,"To Do")=COUNTIFS($E:$E,A92,$B:$B,"Sous-tâche"),"To Do","In Progress")))</f>
        <v>To Do</v>
      </c>
      <c r="R92" s="14" t="s">
        <v>564</v>
      </c>
    </row>
    <row r="93" spans="1:20" ht="15" customHeight="1">
      <c r="A93" s="42" t="s">
        <v>568</v>
      </c>
      <c r="B93" s="42" t="s">
        <v>299</v>
      </c>
      <c r="C93" s="14" t="s">
        <v>28</v>
      </c>
      <c r="D93" s="14" t="s">
        <v>561</v>
      </c>
      <c r="E93" s="14" t="s">
        <v>565</v>
      </c>
      <c r="F93" s="42" t="s">
        <v>569</v>
      </c>
      <c r="G93" s="14"/>
      <c r="H93" s="42" t="s">
        <v>13</v>
      </c>
      <c r="I93" s="14" t="s">
        <v>13</v>
      </c>
      <c r="J93" s="42" t="s">
        <v>47</v>
      </c>
      <c r="K93" s="59">
        <v>1.5</v>
      </c>
      <c r="L93" s="15"/>
      <c r="M93" s="14" t="s">
        <v>289</v>
      </c>
      <c r="N93" s="14" t="s">
        <v>22</v>
      </c>
      <c r="O93" s="14" t="s">
        <v>348</v>
      </c>
      <c r="P93" s="14"/>
      <c r="Q93" s="14" t="s">
        <v>315</v>
      </c>
      <c r="R93" s="14" t="s">
        <v>564</v>
      </c>
    </row>
    <row r="94" spans="1:20" ht="15" customHeight="1">
      <c r="A94" s="42" t="s">
        <v>570</v>
      </c>
      <c r="B94" s="42" t="s">
        <v>299</v>
      </c>
      <c r="C94" s="14" t="s">
        <v>28</v>
      </c>
      <c r="D94" s="14" t="s">
        <v>561</v>
      </c>
      <c r="E94" s="14" t="s">
        <v>565</v>
      </c>
      <c r="F94" s="42" t="s">
        <v>571</v>
      </c>
      <c r="G94" s="14"/>
      <c r="H94" s="42" t="s">
        <v>13</v>
      </c>
      <c r="I94" s="14" t="s">
        <v>13</v>
      </c>
      <c r="J94" s="42" t="s">
        <v>47</v>
      </c>
      <c r="K94" s="59">
        <v>3</v>
      </c>
      <c r="L94" s="15"/>
      <c r="M94" s="14" t="s">
        <v>289</v>
      </c>
      <c r="N94" s="14" t="s">
        <v>22</v>
      </c>
      <c r="O94" s="14" t="s">
        <v>348</v>
      </c>
      <c r="P94" s="14"/>
      <c r="Q94" s="14" t="s">
        <v>315</v>
      </c>
      <c r="R94" s="14" t="s">
        <v>564</v>
      </c>
    </row>
    <row r="95" spans="1:20" ht="15" customHeight="1">
      <c r="A95" s="58" t="s">
        <v>572</v>
      </c>
      <c r="B95" s="58" t="s">
        <v>299</v>
      </c>
      <c r="C95" s="14" t="s">
        <v>28</v>
      </c>
      <c r="D95" s="14" t="s">
        <v>561</v>
      </c>
      <c r="E95" s="14" t="s">
        <v>565</v>
      </c>
      <c r="F95" s="58" t="s">
        <v>573</v>
      </c>
      <c r="G95" s="14"/>
      <c r="H95" s="58" t="s">
        <v>296</v>
      </c>
      <c r="I95" s="14" t="s">
        <v>11</v>
      </c>
      <c r="J95" s="58" t="s">
        <v>12</v>
      </c>
      <c r="K95" s="59">
        <v>3.5</v>
      </c>
      <c r="L95" s="15"/>
      <c r="M95" s="14" t="s">
        <v>289</v>
      </c>
      <c r="N95" s="14" t="s">
        <v>22</v>
      </c>
      <c r="O95" s="14" t="s">
        <v>348</v>
      </c>
      <c r="P95" s="14"/>
      <c r="Q95" s="14" t="s">
        <v>315</v>
      </c>
      <c r="R95" s="14" t="s">
        <v>564</v>
      </c>
    </row>
    <row r="96" spans="1:20" ht="103.5" customHeight="1">
      <c r="A96" s="53" t="s">
        <v>574</v>
      </c>
      <c r="B96" s="54" t="s">
        <v>293</v>
      </c>
      <c r="C96" s="14" t="s">
        <v>28</v>
      </c>
      <c r="D96" s="14" t="s">
        <v>561</v>
      </c>
      <c r="E96" s="14" t="s">
        <v>561</v>
      </c>
      <c r="F96" s="53" t="s">
        <v>575</v>
      </c>
      <c r="G96" s="14" t="s">
        <v>576</v>
      </c>
      <c r="H96" s="54" t="s">
        <v>346</v>
      </c>
      <c r="I96" s="14" t="s">
        <v>347</v>
      </c>
      <c r="J96" s="14" t="s">
        <v>47</v>
      </c>
      <c r="K96" s="30">
        <f>SUMIFS($K:$K,$E:$E,A96,$B:$B,"Sous-tâche")</f>
        <v>6</v>
      </c>
      <c r="L96" s="55">
        <v>13</v>
      </c>
      <c r="M96" s="14" t="s">
        <v>289</v>
      </c>
      <c r="N96" s="14" t="s">
        <v>22</v>
      </c>
      <c r="O96" s="14" t="s">
        <v>348</v>
      </c>
      <c r="P96" s="14" t="s">
        <v>447</v>
      </c>
      <c r="Q96" s="57" t="str">
        <f>IF(COUNTIFS($E:$E,A96,$B:$B,"Sous-tâche")=0,"To Do",IF(COUNTIFS($E:$E,A96,$B:$B,"Sous-tâche",$Q:$Q,"Done")=COUNTIFS($E:$E,A96,$B:$B,"Sous-tâche"),"Done",IF(COUNTIFS($E:$E,A96,$B:$B,"Sous-tâche",$Q:$Q,"To Do")=COUNTIFS($E:$E,A96,$B:$B,"Sous-tâche"),"To Do","In Progress")))</f>
        <v>To Do</v>
      </c>
      <c r="R96" s="14" t="s">
        <v>564</v>
      </c>
    </row>
    <row r="97" spans="1:18" ht="15" customHeight="1">
      <c r="A97" s="42" t="s">
        <v>577</v>
      </c>
      <c r="B97" s="42" t="s">
        <v>299</v>
      </c>
      <c r="C97" s="14" t="s">
        <v>28</v>
      </c>
      <c r="D97" s="14" t="s">
        <v>561</v>
      </c>
      <c r="E97" s="14" t="s">
        <v>574</v>
      </c>
      <c r="F97" s="42" t="s">
        <v>578</v>
      </c>
      <c r="G97" s="14"/>
      <c r="H97" s="42" t="s">
        <v>13</v>
      </c>
      <c r="I97" s="14" t="s">
        <v>13</v>
      </c>
      <c r="J97" s="42" t="s">
        <v>47</v>
      </c>
      <c r="K97" s="59">
        <v>1</v>
      </c>
      <c r="L97" s="15"/>
      <c r="M97" s="14" t="s">
        <v>289</v>
      </c>
      <c r="N97" s="14" t="s">
        <v>22</v>
      </c>
      <c r="O97" s="14" t="s">
        <v>348</v>
      </c>
      <c r="P97" s="14"/>
      <c r="Q97" s="14" t="s">
        <v>315</v>
      </c>
      <c r="R97" s="14" t="s">
        <v>564</v>
      </c>
    </row>
    <row r="98" spans="1:18" ht="15" customHeight="1">
      <c r="A98" s="42" t="s">
        <v>579</v>
      </c>
      <c r="B98" s="42" t="s">
        <v>299</v>
      </c>
      <c r="C98" s="14" t="s">
        <v>28</v>
      </c>
      <c r="D98" s="14" t="s">
        <v>561</v>
      </c>
      <c r="E98" s="14" t="s">
        <v>574</v>
      </c>
      <c r="F98" s="42" t="s">
        <v>580</v>
      </c>
      <c r="G98" s="14"/>
      <c r="H98" s="42" t="s">
        <v>13</v>
      </c>
      <c r="I98" s="14" t="s">
        <v>13</v>
      </c>
      <c r="J98" s="42" t="s">
        <v>47</v>
      </c>
      <c r="K98" s="59">
        <v>2.5</v>
      </c>
      <c r="L98" s="15"/>
      <c r="M98" s="14" t="s">
        <v>289</v>
      </c>
      <c r="N98" s="14" t="s">
        <v>22</v>
      </c>
      <c r="O98" s="14" t="s">
        <v>348</v>
      </c>
      <c r="P98" s="14"/>
      <c r="Q98" s="14" t="s">
        <v>315</v>
      </c>
      <c r="R98" s="14" t="s">
        <v>564</v>
      </c>
    </row>
    <row r="99" spans="1:18" ht="15" customHeight="1">
      <c r="A99" s="58" t="s">
        <v>581</v>
      </c>
      <c r="B99" s="58" t="s">
        <v>299</v>
      </c>
      <c r="C99" s="14" t="s">
        <v>28</v>
      </c>
      <c r="D99" s="14" t="s">
        <v>561</v>
      </c>
      <c r="E99" s="14" t="s">
        <v>574</v>
      </c>
      <c r="F99" s="58" t="s">
        <v>582</v>
      </c>
      <c r="G99" s="14"/>
      <c r="H99" s="58" t="s">
        <v>296</v>
      </c>
      <c r="I99" s="14" t="s">
        <v>11</v>
      </c>
      <c r="J99" s="58" t="s">
        <v>12</v>
      </c>
      <c r="K99" s="59">
        <v>2.5</v>
      </c>
      <c r="L99" s="15"/>
      <c r="M99" s="14" t="s">
        <v>289</v>
      </c>
      <c r="N99" s="14" t="s">
        <v>22</v>
      </c>
      <c r="O99" s="14" t="s">
        <v>348</v>
      </c>
      <c r="P99" s="14"/>
      <c r="Q99" s="14" t="s">
        <v>315</v>
      </c>
      <c r="R99" s="14" t="s">
        <v>564</v>
      </c>
    </row>
    <row r="100" spans="1:18" ht="117" customHeight="1">
      <c r="A100" s="53" t="s">
        <v>583</v>
      </c>
      <c r="B100" s="54" t="s">
        <v>293</v>
      </c>
      <c r="C100" s="14" t="s">
        <v>28</v>
      </c>
      <c r="D100" s="14" t="s">
        <v>561</v>
      </c>
      <c r="E100" s="14" t="s">
        <v>561</v>
      </c>
      <c r="F100" s="53" t="s">
        <v>584</v>
      </c>
      <c r="G100" s="14" t="s">
        <v>585</v>
      </c>
      <c r="H100" s="54" t="s">
        <v>346</v>
      </c>
      <c r="I100" s="14" t="s">
        <v>347</v>
      </c>
      <c r="J100" s="14" t="s">
        <v>47</v>
      </c>
      <c r="K100" s="30">
        <f>SUMIFS($K:$K,$E:$E,A100,$B:$B,"Sous-tâche")</f>
        <v>7</v>
      </c>
      <c r="L100" s="55">
        <v>13</v>
      </c>
      <c r="M100" s="14" t="s">
        <v>289</v>
      </c>
      <c r="N100" s="14" t="s">
        <v>23</v>
      </c>
      <c r="O100" s="14" t="s">
        <v>348</v>
      </c>
      <c r="P100" s="14" t="s">
        <v>447</v>
      </c>
      <c r="Q100" s="57" t="str">
        <f>IF(COUNTIFS($E:$E,A100,$B:$B,"Sous-tâche")=0,"To Do",IF(COUNTIFS($E:$E,A100,$B:$B,"Sous-tâche",$Q:$Q,"Done")=COUNTIFS($E:$E,A100,$B:$B,"Sous-tâche"),"Done",IF(COUNTIFS($E:$E,A100,$B:$B,"Sous-tâche",$Q:$Q,"To Do")=COUNTIFS($E:$E,A100,$B:$B,"Sous-tâche"),"To Do","In Progress")))</f>
        <v>To Do</v>
      </c>
      <c r="R100" s="14" t="s">
        <v>564</v>
      </c>
    </row>
    <row r="101" spans="1:18" ht="15" customHeight="1">
      <c r="A101" s="42" t="s">
        <v>586</v>
      </c>
      <c r="B101" s="42" t="s">
        <v>299</v>
      </c>
      <c r="C101" s="14" t="s">
        <v>28</v>
      </c>
      <c r="D101" s="14" t="s">
        <v>561</v>
      </c>
      <c r="E101" s="14" t="s">
        <v>583</v>
      </c>
      <c r="F101" s="42" t="s">
        <v>587</v>
      </c>
      <c r="G101" s="14"/>
      <c r="H101" s="42" t="s">
        <v>13</v>
      </c>
      <c r="I101" s="14" t="s">
        <v>13</v>
      </c>
      <c r="J101" s="42" t="s">
        <v>47</v>
      </c>
      <c r="K101" s="59">
        <v>1</v>
      </c>
      <c r="L101" s="15"/>
      <c r="M101" s="14" t="s">
        <v>289</v>
      </c>
      <c r="N101" s="14" t="s">
        <v>23</v>
      </c>
      <c r="O101" s="14" t="s">
        <v>348</v>
      </c>
      <c r="P101" s="14"/>
      <c r="Q101" s="14" t="s">
        <v>315</v>
      </c>
      <c r="R101" s="14" t="s">
        <v>564</v>
      </c>
    </row>
    <row r="102" spans="1:18" ht="15" customHeight="1">
      <c r="A102" s="42" t="s">
        <v>588</v>
      </c>
      <c r="B102" s="42" t="s">
        <v>299</v>
      </c>
      <c r="C102" s="14" t="s">
        <v>28</v>
      </c>
      <c r="D102" s="14" t="s">
        <v>561</v>
      </c>
      <c r="E102" s="14" t="s">
        <v>583</v>
      </c>
      <c r="F102" s="42" t="s">
        <v>589</v>
      </c>
      <c r="G102" s="14"/>
      <c r="H102" s="42" t="s">
        <v>13</v>
      </c>
      <c r="I102" s="14" t="s">
        <v>13</v>
      </c>
      <c r="J102" s="42" t="s">
        <v>47</v>
      </c>
      <c r="K102" s="59">
        <v>3</v>
      </c>
      <c r="L102" s="15"/>
      <c r="M102" s="14" t="s">
        <v>289</v>
      </c>
      <c r="N102" s="14" t="s">
        <v>23</v>
      </c>
      <c r="O102" s="14" t="s">
        <v>348</v>
      </c>
      <c r="P102" s="14"/>
      <c r="Q102" s="14" t="s">
        <v>315</v>
      </c>
      <c r="R102" s="14" t="s">
        <v>564</v>
      </c>
    </row>
    <row r="103" spans="1:18" ht="15" customHeight="1">
      <c r="A103" s="58" t="s">
        <v>590</v>
      </c>
      <c r="B103" s="58" t="s">
        <v>299</v>
      </c>
      <c r="C103" s="14" t="s">
        <v>28</v>
      </c>
      <c r="D103" s="14" t="s">
        <v>561</v>
      </c>
      <c r="E103" s="14" t="s">
        <v>583</v>
      </c>
      <c r="F103" s="58" t="s">
        <v>591</v>
      </c>
      <c r="G103" s="14"/>
      <c r="H103" s="58" t="s">
        <v>296</v>
      </c>
      <c r="I103" s="14" t="s">
        <v>11</v>
      </c>
      <c r="J103" s="58" t="s">
        <v>12</v>
      </c>
      <c r="K103" s="59">
        <v>3</v>
      </c>
      <c r="L103" s="15"/>
      <c r="M103" s="14" t="s">
        <v>289</v>
      </c>
      <c r="N103" s="14" t="s">
        <v>23</v>
      </c>
      <c r="O103" s="14" t="s">
        <v>348</v>
      </c>
      <c r="P103" s="14"/>
      <c r="Q103" s="14" t="s">
        <v>315</v>
      </c>
      <c r="R103" s="14" t="s">
        <v>564</v>
      </c>
    </row>
    <row r="104" spans="1:18" ht="103.5" customHeight="1">
      <c r="A104" s="53" t="s">
        <v>592</v>
      </c>
      <c r="B104" s="54" t="s">
        <v>293</v>
      </c>
      <c r="C104" s="14" t="s">
        <v>28</v>
      </c>
      <c r="D104" s="14" t="s">
        <v>561</v>
      </c>
      <c r="E104" s="14" t="s">
        <v>561</v>
      </c>
      <c r="F104" s="53" t="s">
        <v>593</v>
      </c>
      <c r="G104" s="14" t="s">
        <v>594</v>
      </c>
      <c r="H104" s="54" t="s">
        <v>346</v>
      </c>
      <c r="I104" s="14" t="s">
        <v>347</v>
      </c>
      <c r="J104" s="14" t="s">
        <v>47</v>
      </c>
      <c r="K104" s="30">
        <f>SUMIFS($K:$K,$E:$E,A104,$B:$B,"Sous-tâche")</f>
        <v>3</v>
      </c>
      <c r="L104" s="55">
        <v>5</v>
      </c>
      <c r="M104" s="14" t="s">
        <v>289</v>
      </c>
      <c r="N104" s="14" t="s">
        <v>23</v>
      </c>
      <c r="O104" s="14" t="s">
        <v>348</v>
      </c>
      <c r="P104" s="14" t="s">
        <v>447</v>
      </c>
      <c r="Q104" s="57" t="str">
        <f>IF(COUNTIFS($E:$E,A104,$B:$B,"Sous-tâche")=0,"To Do",IF(COUNTIFS($E:$E,A104,$B:$B,"Sous-tâche",$Q:$Q,"Done")=COUNTIFS($E:$E,A104,$B:$B,"Sous-tâche"),"Done",IF(COUNTIFS($E:$E,A104,$B:$B,"Sous-tâche",$Q:$Q,"To Do")=COUNTIFS($E:$E,A104,$B:$B,"Sous-tâche"),"To Do","In Progress")))</f>
        <v>To Do</v>
      </c>
      <c r="R104" s="14" t="s">
        <v>564</v>
      </c>
    </row>
    <row r="105" spans="1:18" ht="15" customHeight="1">
      <c r="A105" s="42" t="s">
        <v>595</v>
      </c>
      <c r="B105" s="42" t="s">
        <v>299</v>
      </c>
      <c r="C105" s="14" t="s">
        <v>28</v>
      </c>
      <c r="D105" s="14" t="s">
        <v>561</v>
      </c>
      <c r="E105" s="14" t="s">
        <v>592</v>
      </c>
      <c r="F105" s="42" t="s">
        <v>596</v>
      </c>
      <c r="G105" s="14"/>
      <c r="H105" s="42" t="s">
        <v>13</v>
      </c>
      <c r="I105" s="14" t="s">
        <v>13</v>
      </c>
      <c r="J105" s="42" t="s">
        <v>47</v>
      </c>
      <c r="K105" s="59">
        <v>1.5</v>
      </c>
      <c r="L105" s="15"/>
      <c r="M105" s="14" t="s">
        <v>289</v>
      </c>
      <c r="N105" s="14" t="s">
        <v>23</v>
      </c>
      <c r="O105" s="14" t="s">
        <v>348</v>
      </c>
      <c r="P105" s="14"/>
      <c r="Q105" s="14" t="s">
        <v>315</v>
      </c>
      <c r="R105" s="14" t="s">
        <v>564</v>
      </c>
    </row>
    <row r="106" spans="1:18" ht="15" customHeight="1">
      <c r="A106" s="58" t="s">
        <v>597</v>
      </c>
      <c r="B106" s="58" t="s">
        <v>299</v>
      </c>
      <c r="C106" s="14" t="s">
        <v>28</v>
      </c>
      <c r="D106" s="14" t="s">
        <v>561</v>
      </c>
      <c r="E106" s="14" t="s">
        <v>592</v>
      </c>
      <c r="F106" s="58" t="s">
        <v>598</v>
      </c>
      <c r="G106" s="14"/>
      <c r="H106" s="58" t="s">
        <v>296</v>
      </c>
      <c r="I106" s="14" t="s">
        <v>11</v>
      </c>
      <c r="J106" s="58" t="s">
        <v>12</v>
      </c>
      <c r="K106" s="59">
        <v>0.5</v>
      </c>
      <c r="L106" s="15"/>
      <c r="M106" s="14" t="s">
        <v>289</v>
      </c>
      <c r="N106" s="14" t="s">
        <v>23</v>
      </c>
      <c r="O106" s="14" t="s">
        <v>348</v>
      </c>
      <c r="P106" s="14"/>
      <c r="Q106" s="14" t="s">
        <v>315</v>
      </c>
      <c r="R106" s="14" t="s">
        <v>564</v>
      </c>
    </row>
    <row r="107" spans="1:18" ht="15" customHeight="1">
      <c r="A107" s="42" t="s">
        <v>599</v>
      </c>
      <c r="B107" s="42" t="s">
        <v>299</v>
      </c>
      <c r="C107" s="14" t="s">
        <v>28</v>
      </c>
      <c r="D107" s="14" t="s">
        <v>561</v>
      </c>
      <c r="E107" s="14" t="s">
        <v>592</v>
      </c>
      <c r="F107" s="42" t="s">
        <v>600</v>
      </c>
      <c r="G107" s="14"/>
      <c r="H107" s="42" t="s">
        <v>13</v>
      </c>
      <c r="I107" s="14" t="s">
        <v>13</v>
      </c>
      <c r="J107" s="42" t="s">
        <v>47</v>
      </c>
      <c r="K107" s="59">
        <v>1</v>
      </c>
      <c r="L107" s="15"/>
      <c r="M107" s="14" t="s">
        <v>289</v>
      </c>
      <c r="N107" s="14" t="s">
        <v>23</v>
      </c>
      <c r="O107" s="14" t="s">
        <v>348</v>
      </c>
      <c r="P107" s="14"/>
      <c r="Q107" s="14" t="s">
        <v>315</v>
      </c>
      <c r="R107" s="14" t="s">
        <v>564</v>
      </c>
    </row>
    <row r="108" spans="1:18" ht="103.5" customHeight="1">
      <c r="A108" s="53" t="s">
        <v>601</v>
      </c>
      <c r="B108" s="54" t="s">
        <v>293</v>
      </c>
      <c r="C108" s="14" t="s">
        <v>28</v>
      </c>
      <c r="D108" s="14" t="s">
        <v>561</v>
      </c>
      <c r="E108" s="14" t="s">
        <v>561</v>
      </c>
      <c r="F108" s="53" t="s">
        <v>602</v>
      </c>
      <c r="G108" s="14" t="s">
        <v>603</v>
      </c>
      <c r="H108" s="54" t="s">
        <v>346</v>
      </c>
      <c r="I108" s="14" t="s">
        <v>347</v>
      </c>
      <c r="J108" s="14" t="s">
        <v>12</v>
      </c>
      <c r="K108" s="30">
        <f>SUMIFS($K:$K,$E:$E,A108,$B:$B,"Sous-tâche")</f>
        <v>3.5</v>
      </c>
      <c r="L108" s="55">
        <v>8</v>
      </c>
      <c r="M108" s="14" t="s">
        <v>289</v>
      </c>
      <c r="N108" s="14" t="s">
        <v>23</v>
      </c>
      <c r="O108" s="56" t="s">
        <v>297</v>
      </c>
      <c r="P108" s="14" t="s">
        <v>447</v>
      </c>
      <c r="Q108" s="57" t="str">
        <f>IF(COUNTIFS($E:$E,A108,$B:$B,"Sous-tâche")=0,"To Do",IF(COUNTIFS($E:$E,A108,$B:$B,"Sous-tâche",$Q:$Q,"Done")=COUNTIFS($E:$E,A108,$B:$B,"Sous-tâche"),"Done",IF(COUNTIFS($E:$E,A108,$B:$B,"Sous-tâche",$Q:$Q,"To Do")=COUNTIFS($E:$E,A108,$B:$B,"Sous-tâche"),"To Do","In Progress")))</f>
        <v>To Do</v>
      </c>
      <c r="R108" s="14" t="s">
        <v>564</v>
      </c>
    </row>
    <row r="109" spans="1:18" ht="15" customHeight="1">
      <c r="A109" s="42" t="s">
        <v>604</v>
      </c>
      <c r="B109" s="42" t="s">
        <v>299</v>
      </c>
      <c r="C109" s="14" t="s">
        <v>28</v>
      </c>
      <c r="D109" s="14" t="s">
        <v>561</v>
      </c>
      <c r="E109" s="14" t="s">
        <v>601</v>
      </c>
      <c r="F109" s="42" t="s">
        <v>605</v>
      </c>
      <c r="G109" s="14"/>
      <c r="H109" s="42" t="s">
        <v>13</v>
      </c>
      <c r="I109" s="14" t="s">
        <v>13</v>
      </c>
      <c r="J109" s="42" t="s">
        <v>47</v>
      </c>
      <c r="K109" s="59">
        <v>1.5</v>
      </c>
      <c r="L109" s="15"/>
      <c r="M109" s="14" t="s">
        <v>289</v>
      </c>
      <c r="N109" s="14" t="s">
        <v>23</v>
      </c>
      <c r="O109" s="56" t="s">
        <v>297</v>
      </c>
      <c r="P109" s="14"/>
      <c r="Q109" s="14" t="s">
        <v>315</v>
      </c>
      <c r="R109" s="14" t="s">
        <v>564</v>
      </c>
    </row>
    <row r="110" spans="1:18" ht="15" customHeight="1">
      <c r="A110" s="58" t="s">
        <v>606</v>
      </c>
      <c r="B110" s="58" t="s">
        <v>299</v>
      </c>
      <c r="C110" s="14" t="s">
        <v>28</v>
      </c>
      <c r="D110" s="14" t="s">
        <v>561</v>
      </c>
      <c r="E110" s="14" t="s">
        <v>601</v>
      </c>
      <c r="F110" s="58" t="s">
        <v>607</v>
      </c>
      <c r="G110" s="14"/>
      <c r="H110" s="58" t="s">
        <v>296</v>
      </c>
      <c r="I110" s="14" t="s">
        <v>11</v>
      </c>
      <c r="J110" s="58" t="s">
        <v>12</v>
      </c>
      <c r="K110" s="59">
        <v>2</v>
      </c>
      <c r="L110" s="15"/>
      <c r="M110" s="14" t="s">
        <v>289</v>
      </c>
      <c r="N110" s="14" t="s">
        <v>23</v>
      </c>
      <c r="O110" s="56" t="s">
        <v>297</v>
      </c>
      <c r="P110" s="14"/>
      <c r="Q110" s="14" t="s">
        <v>315</v>
      </c>
      <c r="R110" s="14" t="s">
        <v>564</v>
      </c>
    </row>
    <row r="111" spans="1:18" ht="103.5" customHeight="1">
      <c r="A111" s="53" t="s">
        <v>608</v>
      </c>
      <c r="B111" s="54" t="s">
        <v>293</v>
      </c>
      <c r="C111" s="14" t="s">
        <v>28</v>
      </c>
      <c r="D111" s="14" t="s">
        <v>561</v>
      </c>
      <c r="E111" s="14" t="s">
        <v>561</v>
      </c>
      <c r="F111" s="53" t="s">
        <v>609</v>
      </c>
      <c r="G111" s="14" t="s">
        <v>610</v>
      </c>
      <c r="H111" s="54" t="s">
        <v>333</v>
      </c>
      <c r="I111" s="14" t="s">
        <v>11</v>
      </c>
      <c r="J111" s="14" t="s">
        <v>12</v>
      </c>
      <c r="K111" s="30">
        <f>SUMIFS($K:$K,$E:$E,A111,$B:$B,"Sous-tâche")</f>
        <v>6</v>
      </c>
      <c r="L111" s="55">
        <v>13</v>
      </c>
      <c r="M111" s="14" t="s">
        <v>289</v>
      </c>
      <c r="N111" s="14" t="s">
        <v>247</v>
      </c>
      <c r="O111" s="56" t="s">
        <v>297</v>
      </c>
      <c r="P111" s="14" t="s">
        <v>447</v>
      </c>
      <c r="Q111" s="57" t="str">
        <f>IF(COUNTIFS($E:$E,A111,$B:$B,"Sous-tâche")=0,"To Do",IF(COUNTIFS($E:$E,A111,$B:$B,"Sous-tâche",$Q:$Q,"Done")=COUNTIFS($E:$E,A111,$B:$B,"Sous-tâche"),"Done",IF(COUNTIFS($E:$E,A111,$B:$B,"Sous-tâche",$Q:$Q,"To Do")=COUNTIFS($E:$E,A111,$B:$B,"Sous-tâche"),"To Do","In Progress")))</f>
        <v>To Do</v>
      </c>
      <c r="R111" s="14" t="s">
        <v>564</v>
      </c>
    </row>
    <row r="112" spans="1:18" ht="15" customHeight="1">
      <c r="A112" s="63" t="s">
        <v>611</v>
      </c>
      <c r="B112" s="63" t="s">
        <v>299</v>
      </c>
      <c r="C112" s="14" t="s">
        <v>28</v>
      </c>
      <c r="D112" s="14" t="s">
        <v>561</v>
      </c>
      <c r="E112" s="14" t="s">
        <v>608</v>
      </c>
      <c r="F112" s="63" t="s">
        <v>612</v>
      </c>
      <c r="G112" s="14"/>
      <c r="H112" s="63" t="s">
        <v>333</v>
      </c>
      <c r="I112" s="14" t="s">
        <v>11</v>
      </c>
      <c r="J112" s="58" t="s">
        <v>12</v>
      </c>
      <c r="K112" s="59">
        <v>6</v>
      </c>
      <c r="L112" s="15"/>
      <c r="M112" s="14" t="s">
        <v>289</v>
      </c>
      <c r="N112" s="14" t="s">
        <v>247</v>
      </c>
      <c r="O112" s="56" t="s">
        <v>297</v>
      </c>
      <c r="P112" s="14"/>
      <c r="Q112" s="14" t="s">
        <v>315</v>
      </c>
      <c r="R112" s="14" t="s">
        <v>564</v>
      </c>
    </row>
    <row r="113" spans="1:18" ht="30" customHeight="1">
      <c r="A113" s="21" t="s">
        <v>613</v>
      </c>
      <c r="B113" s="21" t="s">
        <v>286</v>
      </c>
      <c r="C113" s="21" t="s">
        <v>28</v>
      </c>
      <c r="D113" s="21" t="s">
        <v>613</v>
      </c>
      <c r="E113" s="21"/>
      <c r="F113" s="21" t="s">
        <v>614</v>
      </c>
      <c r="G113" s="21" t="s">
        <v>615</v>
      </c>
      <c r="H113" s="21"/>
      <c r="I113" s="21"/>
      <c r="J113" s="21"/>
      <c r="K113" s="50">
        <f>SUMIFS($K:$K,$D:$D,A113,$B:$B,"Sous-tâche")</f>
        <v>31.5</v>
      </c>
      <c r="L113" s="51">
        <f>SUMIFS($L:$L,$D:$D,A113,$B:$B,"Story")</f>
        <v>68</v>
      </c>
      <c r="M113" s="21" t="s">
        <v>289</v>
      </c>
      <c r="N113" s="21"/>
      <c r="O113" s="21"/>
      <c r="P113" s="21" t="s">
        <v>616</v>
      </c>
      <c r="Q113" s="52" t="str">
        <f>IF(COUNTIFS($D:$D,A113,$B:$B,"Sous-tâche")=0,"To Do",IF(COUNTIFS($D:$D,A113,$B:$B,"Sous-tâche",$Q:$Q,"Done")=COUNTIFS($D:$D,A113,$B:$B,"Sous-tâche"),"Done",IF(COUNTIFS($D:$D,A113,$B:$B,"Sous-tâche",$Q:$Q,"To Do")=COUNTIFS($D:$D,A113,$B:$B,"Sous-tâche"),"To Do","In Progress")))</f>
        <v>To Do</v>
      </c>
      <c r="R113" s="21" t="s">
        <v>617</v>
      </c>
    </row>
    <row r="114" spans="1:18" ht="117" customHeight="1">
      <c r="A114" s="53" t="s">
        <v>618</v>
      </c>
      <c r="B114" s="54" t="s">
        <v>293</v>
      </c>
      <c r="C114" s="14" t="s">
        <v>28</v>
      </c>
      <c r="D114" s="14" t="s">
        <v>613</v>
      </c>
      <c r="E114" s="14" t="s">
        <v>613</v>
      </c>
      <c r="F114" s="53" t="s">
        <v>619</v>
      </c>
      <c r="G114" s="14" t="s">
        <v>620</v>
      </c>
      <c r="H114" s="54" t="s">
        <v>346</v>
      </c>
      <c r="I114" s="14" t="s">
        <v>347</v>
      </c>
      <c r="J114" s="14" t="s">
        <v>47</v>
      </c>
      <c r="K114" s="30">
        <f>SUMIFS($K:$K,$E:$E,A114,$B:$B,"Sous-tâche")</f>
        <v>8.5</v>
      </c>
      <c r="L114" s="55">
        <v>21</v>
      </c>
      <c r="M114" s="14" t="s">
        <v>289</v>
      </c>
      <c r="N114" s="14" t="s">
        <v>24</v>
      </c>
      <c r="O114" s="56" t="s">
        <v>297</v>
      </c>
      <c r="P114" s="14" t="s">
        <v>616</v>
      </c>
      <c r="Q114" s="57" t="str">
        <f>IF(COUNTIFS($E:$E,A114,$B:$B,"Sous-tâche")=0,"To Do",IF(COUNTIFS($E:$E,A114,$B:$B,"Sous-tâche",$Q:$Q,"Done")=COUNTIFS($E:$E,A114,$B:$B,"Sous-tâche"),"Done",IF(COUNTIFS($E:$E,A114,$B:$B,"Sous-tâche",$Q:$Q,"To Do")=COUNTIFS($E:$E,A114,$B:$B,"Sous-tâche"),"To Do","In Progress")))</f>
        <v>To Do</v>
      </c>
      <c r="R114" s="14" t="s">
        <v>617</v>
      </c>
    </row>
    <row r="115" spans="1:18" ht="15" customHeight="1">
      <c r="A115" s="42" t="s">
        <v>621</v>
      </c>
      <c r="B115" s="42" t="s">
        <v>299</v>
      </c>
      <c r="C115" s="14" t="s">
        <v>28</v>
      </c>
      <c r="D115" s="14" t="s">
        <v>613</v>
      </c>
      <c r="E115" s="14" t="s">
        <v>618</v>
      </c>
      <c r="F115" s="42" t="s">
        <v>622</v>
      </c>
      <c r="G115" s="14"/>
      <c r="H115" s="42" t="s">
        <v>13</v>
      </c>
      <c r="I115" s="14" t="s">
        <v>13</v>
      </c>
      <c r="J115" s="42" t="s">
        <v>47</v>
      </c>
      <c r="K115" s="59">
        <v>3</v>
      </c>
      <c r="L115" s="15"/>
      <c r="M115" s="14" t="s">
        <v>289</v>
      </c>
      <c r="N115" s="14" t="s">
        <v>24</v>
      </c>
      <c r="O115" s="56" t="s">
        <v>297</v>
      </c>
      <c r="P115" s="14"/>
      <c r="Q115" s="14" t="s">
        <v>315</v>
      </c>
      <c r="R115" s="14" t="s">
        <v>617</v>
      </c>
    </row>
    <row r="116" spans="1:18" ht="15" customHeight="1">
      <c r="A116" s="42" t="s">
        <v>623</v>
      </c>
      <c r="B116" s="42" t="s">
        <v>299</v>
      </c>
      <c r="C116" s="14" t="s">
        <v>28</v>
      </c>
      <c r="D116" s="14" t="s">
        <v>613</v>
      </c>
      <c r="E116" s="14" t="s">
        <v>618</v>
      </c>
      <c r="F116" s="42" t="s">
        <v>624</v>
      </c>
      <c r="G116" s="14"/>
      <c r="H116" s="42" t="s">
        <v>13</v>
      </c>
      <c r="I116" s="14" t="s">
        <v>13</v>
      </c>
      <c r="J116" s="42" t="s">
        <v>47</v>
      </c>
      <c r="K116" s="59">
        <v>1.5</v>
      </c>
      <c r="L116" s="15"/>
      <c r="M116" s="14" t="s">
        <v>289</v>
      </c>
      <c r="N116" s="14" t="s">
        <v>24</v>
      </c>
      <c r="O116" s="56" t="s">
        <v>297</v>
      </c>
      <c r="P116" s="14"/>
      <c r="Q116" s="14" t="s">
        <v>315</v>
      </c>
      <c r="R116" s="14" t="s">
        <v>617</v>
      </c>
    </row>
    <row r="117" spans="1:18" ht="15" customHeight="1">
      <c r="A117" s="58" t="s">
        <v>625</v>
      </c>
      <c r="B117" s="58" t="s">
        <v>299</v>
      </c>
      <c r="C117" s="14" t="s">
        <v>28</v>
      </c>
      <c r="D117" s="14" t="s">
        <v>613</v>
      </c>
      <c r="E117" s="14" t="s">
        <v>618</v>
      </c>
      <c r="F117" s="58" t="s">
        <v>626</v>
      </c>
      <c r="G117" s="14"/>
      <c r="H117" s="58" t="s">
        <v>296</v>
      </c>
      <c r="I117" s="14" t="s">
        <v>11</v>
      </c>
      <c r="J117" s="58" t="s">
        <v>12</v>
      </c>
      <c r="K117" s="59">
        <v>4</v>
      </c>
      <c r="L117" s="15"/>
      <c r="M117" s="14" t="s">
        <v>289</v>
      </c>
      <c r="N117" s="14" t="s">
        <v>24</v>
      </c>
      <c r="O117" s="56" t="s">
        <v>297</v>
      </c>
      <c r="P117" s="14"/>
      <c r="Q117" s="14" t="s">
        <v>315</v>
      </c>
      <c r="R117" s="14" t="s">
        <v>617</v>
      </c>
    </row>
    <row r="118" spans="1:18" ht="103.5" customHeight="1">
      <c r="A118" s="53" t="s">
        <v>627</v>
      </c>
      <c r="B118" s="54" t="s">
        <v>293</v>
      </c>
      <c r="C118" s="14" t="s">
        <v>28</v>
      </c>
      <c r="D118" s="14" t="s">
        <v>613</v>
      </c>
      <c r="E118" s="14" t="s">
        <v>613</v>
      </c>
      <c r="F118" s="53" t="s">
        <v>628</v>
      </c>
      <c r="G118" s="14" t="s">
        <v>629</v>
      </c>
      <c r="H118" s="54" t="s">
        <v>346</v>
      </c>
      <c r="I118" s="14" t="s">
        <v>347</v>
      </c>
      <c r="J118" s="14" t="s">
        <v>12</v>
      </c>
      <c r="K118" s="30">
        <f>SUMIFS($K:$K,$E:$E,A118,$B:$B,"Sous-tâche")</f>
        <v>6</v>
      </c>
      <c r="L118" s="55">
        <v>13</v>
      </c>
      <c r="M118" s="14" t="s">
        <v>312</v>
      </c>
      <c r="N118" s="14" t="s">
        <v>24</v>
      </c>
      <c r="O118" s="56" t="s">
        <v>297</v>
      </c>
      <c r="P118" s="14" t="s">
        <v>616</v>
      </c>
      <c r="Q118" s="57" t="str">
        <f>IF(COUNTIFS($E:$E,A118,$B:$B,"Sous-tâche")=0,"To Do",IF(COUNTIFS($E:$E,A118,$B:$B,"Sous-tâche",$Q:$Q,"Done")=COUNTIFS($E:$E,A118,$B:$B,"Sous-tâche"),"Done",IF(COUNTIFS($E:$E,A118,$B:$B,"Sous-tâche",$Q:$Q,"To Do")=COUNTIFS($E:$E,A118,$B:$B,"Sous-tâche"),"To Do","In Progress")))</f>
        <v>To Do</v>
      </c>
      <c r="R118" s="14" t="s">
        <v>617</v>
      </c>
    </row>
    <row r="119" spans="1:18" ht="15" customHeight="1">
      <c r="A119" s="42" t="s">
        <v>630</v>
      </c>
      <c r="B119" s="42" t="s">
        <v>299</v>
      </c>
      <c r="C119" s="14" t="s">
        <v>28</v>
      </c>
      <c r="D119" s="14" t="s">
        <v>613</v>
      </c>
      <c r="E119" s="14" t="s">
        <v>627</v>
      </c>
      <c r="F119" s="42" t="s">
        <v>631</v>
      </c>
      <c r="G119" s="14"/>
      <c r="H119" s="42" t="s">
        <v>13</v>
      </c>
      <c r="I119" s="14" t="s">
        <v>13</v>
      </c>
      <c r="J119" s="42" t="s">
        <v>47</v>
      </c>
      <c r="K119" s="59">
        <v>2</v>
      </c>
      <c r="L119" s="15"/>
      <c r="M119" s="14" t="s">
        <v>312</v>
      </c>
      <c r="N119" s="14" t="s">
        <v>24</v>
      </c>
      <c r="O119" s="56" t="s">
        <v>297</v>
      </c>
      <c r="P119" s="14"/>
      <c r="Q119" s="14" t="s">
        <v>315</v>
      </c>
      <c r="R119" s="14" t="s">
        <v>617</v>
      </c>
    </row>
    <row r="120" spans="1:18" ht="15" customHeight="1">
      <c r="A120" s="58" t="s">
        <v>632</v>
      </c>
      <c r="B120" s="58" t="s">
        <v>299</v>
      </c>
      <c r="C120" s="14" t="s">
        <v>28</v>
      </c>
      <c r="D120" s="14" t="s">
        <v>613</v>
      </c>
      <c r="E120" s="14" t="s">
        <v>627</v>
      </c>
      <c r="F120" s="58" t="s">
        <v>633</v>
      </c>
      <c r="G120" s="14"/>
      <c r="H120" s="58" t="s">
        <v>296</v>
      </c>
      <c r="I120" s="14" t="s">
        <v>11</v>
      </c>
      <c r="J120" s="58" t="s">
        <v>12</v>
      </c>
      <c r="K120" s="59">
        <v>4</v>
      </c>
      <c r="L120" s="15"/>
      <c r="M120" s="14" t="s">
        <v>312</v>
      </c>
      <c r="N120" s="14" t="s">
        <v>24</v>
      </c>
      <c r="O120" s="56" t="s">
        <v>297</v>
      </c>
      <c r="P120" s="14"/>
      <c r="Q120" s="14" t="s">
        <v>315</v>
      </c>
      <c r="R120" s="14" t="s">
        <v>617</v>
      </c>
    </row>
    <row r="121" spans="1:18" ht="90.75" customHeight="1">
      <c r="A121" s="53" t="s">
        <v>634</v>
      </c>
      <c r="B121" s="54" t="s">
        <v>293</v>
      </c>
      <c r="C121" s="14" t="s">
        <v>28</v>
      </c>
      <c r="D121" s="14" t="s">
        <v>613</v>
      </c>
      <c r="E121" s="14" t="s">
        <v>613</v>
      </c>
      <c r="F121" s="53" t="s">
        <v>635</v>
      </c>
      <c r="G121" s="14" t="s">
        <v>636</v>
      </c>
      <c r="H121" s="54" t="s">
        <v>346</v>
      </c>
      <c r="I121" s="14" t="s">
        <v>347</v>
      </c>
      <c r="J121" s="14" t="s">
        <v>47</v>
      </c>
      <c r="K121" s="30">
        <f>SUMIFS($K:$K,$E:$E,A121,$B:$B,"Sous-tâche")</f>
        <v>3.5</v>
      </c>
      <c r="L121" s="55">
        <v>8</v>
      </c>
      <c r="M121" s="14" t="s">
        <v>289</v>
      </c>
      <c r="N121" s="14" t="s">
        <v>24</v>
      </c>
      <c r="O121" s="56" t="s">
        <v>297</v>
      </c>
      <c r="P121" s="14" t="s">
        <v>616</v>
      </c>
      <c r="Q121" s="57" t="str">
        <f>IF(COUNTIFS($E:$E,A121,$B:$B,"Sous-tâche")=0,"To Do",IF(COUNTIFS($E:$E,A121,$B:$B,"Sous-tâche",$Q:$Q,"Done")=COUNTIFS($E:$E,A121,$B:$B,"Sous-tâche"),"Done",IF(COUNTIFS($E:$E,A121,$B:$B,"Sous-tâche",$Q:$Q,"To Do")=COUNTIFS($E:$E,A121,$B:$B,"Sous-tâche"),"To Do","In Progress")))</f>
        <v>To Do</v>
      </c>
      <c r="R121" s="14" t="s">
        <v>617</v>
      </c>
    </row>
    <row r="122" spans="1:18" ht="15" customHeight="1">
      <c r="A122" s="42" t="s">
        <v>637</v>
      </c>
      <c r="B122" s="42" t="s">
        <v>299</v>
      </c>
      <c r="C122" s="14" t="s">
        <v>28</v>
      </c>
      <c r="D122" s="14" t="s">
        <v>613</v>
      </c>
      <c r="E122" s="14" t="s">
        <v>634</v>
      </c>
      <c r="F122" s="42" t="s">
        <v>638</v>
      </c>
      <c r="G122" s="14"/>
      <c r="H122" s="42" t="s">
        <v>13</v>
      </c>
      <c r="I122" s="14" t="s">
        <v>13</v>
      </c>
      <c r="J122" s="42" t="s">
        <v>47</v>
      </c>
      <c r="K122" s="59">
        <v>2.5</v>
      </c>
      <c r="L122" s="15"/>
      <c r="M122" s="14" t="s">
        <v>289</v>
      </c>
      <c r="N122" s="14" t="s">
        <v>24</v>
      </c>
      <c r="O122" s="56" t="s">
        <v>297</v>
      </c>
      <c r="P122" s="14"/>
      <c r="Q122" s="14" t="s">
        <v>315</v>
      </c>
      <c r="R122" s="14" t="s">
        <v>617</v>
      </c>
    </row>
    <row r="123" spans="1:18" ht="15" customHeight="1">
      <c r="A123" s="58" t="s">
        <v>639</v>
      </c>
      <c r="B123" s="58" t="s">
        <v>299</v>
      </c>
      <c r="C123" s="14" t="s">
        <v>28</v>
      </c>
      <c r="D123" s="14" t="s">
        <v>613</v>
      </c>
      <c r="E123" s="14" t="s">
        <v>634</v>
      </c>
      <c r="F123" s="58" t="s">
        <v>640</v>
      </c>
      <c r="G123" s="14"/>
      <c r="H123" s="58" t="s">
        <v>296</v>
      </c>
      <c r="I123" s="14" t="s">
        <v>11</v>
      </c>
      <c r="J123" s="58" t="s">
        <v>12</v>
      </c>
      <c r="K123" s="59">
        <v>1</v>
      </c>
      <c r="L123" s="15"/>
      <c r="M123" s="14" t="s">
        <v>289</v>
      </c>
      <c r="N123" s="14" t="s">
        <v>24</v>
      </c>
      <c r="O123" s="56" t="s">
        <v>297</v>
      </c>
      <c r="P123" s="14"/>
      <c r="Q123" s="14" t="s">
        <v>315</v>
      </c>
      <c r="R123" s="14" t="s">
        <v>617</v>
      </c>
    </row>
    <row r="124" spans="1:18" ht="103.5" customHeight="1">
      <c r="A124" s="53" t="s">
        <v>641</v>
      </c>
      <c r="B124" s="54" t="s">
        <v>293</v>
      </c>
      <c r="C124" s="14" t="s">
        <v>28</v>
      </c>
      <c r="D124" s="14" t="s">
        <v>613</v>
      </c>
      <c r="E124" s="14" t="s">
        <v>613</v>
      </c>
      <c r="F124" s="53" t="s">
        <v>642</v>
      </c>
      <c r="G124" s="14" t="s">
        <v>643</v>
      </c>
      <c r="H124" s="54" t="s">
        <v>644</v>
      </c>
      <c r="I124" s="14" t="s">
        <v>347</v>
      </c>
      <c r="J124" s="14" t="s">
        <v>12</v>
      </c>
      <c r="K124" s="30">
        <f>SUMIFS($K:$K,$E:$E,A124,$B:$B,"Sous-tâche")</f>
        <v>6</v>
      </c>
      <c r="L124" s="55">
        <v>13</v>
      </c>
      <c r="M124" s="14" t="s">
        <v>289</v>
      </c>
      <c r="N124" s="14" t="s">
        <v>231</v>
      </c>
      <c r="O124" s="56" t="s">
        <v>297</v>
      </c>
      <c r="P124" s="14" t="s">
        <v>616</v>
      </c>
      <c r="Q124" s="57" t="str">
        <f>IF(COUNTIFS($E:$E,A124,$B:$B,"Sous-tâche")=0,"To Do",IF(COUNTIFS($E:$E,A124,$B:$B,"Sous-tâche",$Q:$Q,"Done")=COUNTIFS($E:$E,A124,$B:$B,"Sous-tâche"),"Done",IF(COUNTIFS($E:$E,A124,$B:$B,"Sous-tâche",$Q:$Q,"To Do")=COUNTIFS($E:$E,A124,$B:$B,"Sous-tâche"),"To Do","In Progress")))</f>
        <v>To Do</v>
      </c>
      <c r="R124" s="14" t="s">
        <v>617</v>
      </c>
    </row>
    <row r="125" spans="1:18" ht="15" customHeight="1">
      <c r="A125" s="42" t="s">
        <v>645</v>
      </c>
      <c r="B125" s="42" t="s">
        <v>299</v>
      </c>
      <c r="C125" s="14" t="s">
        <v>28</v>
      </c>
      <c r="D125" s="14" t="s">
        <v>613</v>
      </c>
      <c r="E125" s="14" t="s">
        <v>641</v>
      </c>
      <c r="F125" s="42" t="s">
        <v>646</v>
      </c>
      <c r="G125" s="14"/>
      <c r="H125" s="42" t="s">
        <v>13</v>
      </c>
      <c r="I125" s="14" t="s">
        <v>13</v>
      </c>
      <c r="J125" s="42" t="s">
        <v>47</v>
      </c>
      <c r="K125" s="59">
        <v>3</v>
      </c>
      <c r="L125" s="15"/>
      <c r="M125" s="14" t="s">
        <v>289</v>
      </c>
      <c r="N125" s="14" t="s">
        <v>231</v>
      </c>
      <c r="O125" s="56" t="s">
        <v>297</v>
      </c>
      <c r="P125" s="14"/>
      <c r="Q125" s="14" t="s">
        <v>315</v>
      </c>
      <c r="R125" s="14" t="s">
        <v>617</v>
      </c>
    </row>
    <row r="126" spans="1:18" ht="15" customHeight="1">
      <c r="A126" s="63" t="s">
        <v>647</v>
      </c>
      <c r="B126" s="63" t="s">
        <v>299</v>
      </c>
      <c r="C126" s="14" t="s">
        <v>28</v>
      </c>
      <c r="D126" s="14" t="s">
        <v>613</v>
      </c>
      <c r="E126" s="14" t="s">
        <v>641</v>
      </c>
      <c r="F126" s="63" t="s">
        <v>648</v>
      </c>
      <c r="G126" s="14"/>
      <c r="H126" s="63" t="s">
        <v>333</v>
      </c>
      <c r="I126" s="14" t="s">
        <v>11</v>
      </c>
      <c r="J126" s="58" t="s">
        <v>12</v>
      </c>
      <c r="K126" s="59">
        <v>3</v>
      </c>
      <c r="L126" s="15"/>
      <c r="M126" s="14" t="s">
        <v>289</v>
      </c>
      <c r="N126" s="14" t="s">
        <v>231</v>
      </c>
      <c r="O126" s="56" t="s">
        <v>297</v>
      </c>
      <c r="P126" s="14"/>
      <c r="Q126" s="14" t="s">
        <v>315</v>
      </c>
      <c r="R126" s="14" t="s">
        <v>617</v>
      </c>
    </row>
    <row r="127" spans="1:18" ht="90.75" customHeight="1">
      <c r="A127" s="53" t="s">
        <v>649</v>
      </c>
      <c r="B127" s="54" t="s">
        <v>293</v>
      </c>
      <c r="C127" s="14" t="s">
        <v>28</v>
      </c>
      <c r="D127" s="14" t="s">
        <v>613</v>
      </c>
      <c r="E127" s="14" t="s">
        <v>613</v>
      </c>
      <c r="F127" s="53" t="s">
        <v>650</v>
      </c>
      <c r="G127" s="14" t="s">
        <v>651</v>
      </c>
      <c r="H127" s="54" t="s">
        <v>346</v>
      </c>
      <c r="I127" s="14" t="s">
        <v>347</v>
      </c>
      <c r="J127" s="14" t="s">
        <v>12</v>
      </c>
      <c r="K127" s="30">
        <f>SUMIFS($K:$K,$E:$E,A127,$B:$B,"Sous-tâche")</f>
        <v>2.5</v>
      </c>
      <c r="L127" s="55">
        <v>5</v>
      </c>
      <c r="M127" s="14" t="s">
        <v>652</v>
      </c>
      <c r="N127" s="14" t="s">
        <v>231</v>
      </c>
      <c r="O127" s="56" t="s">
        <v>297</v>
      </c>
      <c r="P127" s="14" t="s">
        <v>616</v>
      </c>
      <c r="Q127" s="57" t="str">
        <f>IF(COUNTIFS($E:$E,A127,$B:$B,"Sous-tâche")=0,"To Do",IF(COUNTIFS($E:$E,A127,$B:$B,"Sous-tâche",$Q:$Q,"Done")=COUNTIFS($E:$E,A127,$B:$B,"Sous-tâche"),"Done",IF(COUNTIFS($E:$E,A127,$B:$B,"Sous-tâche",$Q:$Q,"To Do")=COUNTIFS($E:$E,A127,$B:$B,"Sous-tâche"),"To Do","In Progress")))</f>
        <v>To Do</v>
      </c>
      <c r="R127" s="14" t="s">
        <v>617</v>
      </c>
    </row>
    <row r="128" spans="1:18" ht="15" customHeight="1">
      <c r="A128" s="42" t="s">
        <v>653</v>
      </c>
      <c r="B128" s="42" t="s">
        <v>299</v>
      </c>
      <c r="C128" s="14" t="s">
        <v>28</v>
      </c>
      <c r="D128" s="14" t="s">
        <v>613</v>
      </c>
      <c r="E128" s="14" t="s">
        <v>649</v>
      </c>
      <c r="F128" s="42" t="s">
        <v>654</v>
      </c>
      <c r="G128" s="14"/>
      <c r="H128" s="42" t="s">
        <v>13</v>
      </c>
      <c r="I128" s="14" t="s">
        <v>13</v>
      </c>
      <c r="J128" s="42" t="s">
        <v>47</v>
      </c>
      <c r="K128" s="59">
        <v>1</v>
      </c>
      <c r="L128" s="15"/>
      <c r="M128" s="14" t="s">
        <v>652</v>
      </c>
      <c r="N128" s="14" t="s">
        <v>231</v>
      </c>
      <c r="O128" s="56" t="s">
        <v>297</v>
      </c>
      <c r="P128" s="14"/>
      <c r="Q128" s="14" t="s">
        <v>315</v>
      </c>
      <c r="R128" s="14" t="s">
        <v>617</v>
      </c>
    </row>
    <row r="129" spans="1:18" ht="15" customHeight="1">
      <c r="A129" s="58" t="s">
        <v>655</v>
      </c>
      <c r="B129" s="58" t="s">
        <v>299</v>
      </c>
      <c r="C129" s="14" t="s">
        <v>28</v>
      </c>
      <c r="D129" s="14" t="s">
        <v>613</v>
      </c>
      <c r="E129" s="14" t="s">
        <v>649</v>
      </c>
      <c r="F129" s="58" t="s">
        <v>656</v>
      </c>
      <c r="G129" s="14"/>
      <c r="H129" s="58" t="s">
        <v>296</v>
      </c>
      <c r="I129" s="14" t="s">
        <v>11</v>
      </c>
      <c r="J129" s="58" t="s">
        <v>12</v>
      </c>
      <c r="K129" s="59">
        <v>1.5</v>
      </c>
      <c r="L129" s="15"/>
      <c r="M129" s="14" t="s">
        <v>652</v>
      </c>
      <c r="N129" s="14" t="s">
        <v>231</v>
      </c>
      <c r="O129" s="56" t="s">
        <v>297</v>
      </c>
      <c r="P129" s="14"/>
      <c r="Q129" s="14" t="s">
        <v>315</v>
      </c>
      <c r="R129" s="14" t="s">
        <v>617</v>
      </c>
    </row>
    <row r="130" spans="1:18" ht="103.5" customHeight="1">
      <c r="A130" s="53" t="s">
        <v>657</v>
      </c>
      <c r="B130" s="54" t="s">
        <v>293</v>
      </c>
      <c r="C130" s="14" t="s">
        <v>28</v>
      </c>
      <c r="D130" s="14" t="s">
        <v>613</v>
      </c>
      <c r="E130" s="14" t="s">
        <v>613</v>
      </c>
      <c r="F130" s="53" t="s">
        <v>658</v>
      </c>
      <c r="G130" s="14" t="s">
        <v>659</v>
      </c>
      <c r="H130" s="54" t="s">
        <v>333</v>
      </c>
      <c r="I130" s="14" t="s">
        <v>11</v>
      </c>
      <c r="J130" s="14" t="s">
        <v>12</v>
      </c>
      <c r="K130" s="30">
        <f>SUMIFS($K:$K,$E:$E,A130,$B:$B,"Sous-tâche")</f>
        <v>5</v>
      </c>
      <c r="L130" s="55">
        <v>8</v>
      </c>
      <c r="M130" s="14" t="s">
        <v>289</v>
      </c>
      <c r="N130" s="14" t="s">
        <v>26</v>
      </c>
      <c r="O130" s="56" t="s">
        <v>297</v>
      </c>
      <c r="P130" s="14" t="s">
        <v>616</v>
      </c>
      <c r="Q130" s="57" t="str">
        <f>IF(COUNTIFS($E:$E,A130,$B:$B,"Sous-tâche")=0,"To Do",IF(COUNTIFS($E:$E,A130,$B:$B,"Sous-tâche",$Q:$Q,"Done")=COUNTIFS($E:$E,A130,$B:$B,"Sous-tâche"),"Done",IF(COUNTIFS($E:$E,A130,$B:$B,"Sous-tâche",$Q:$Q,"To Do")=COUNTIFS($E:$E,A130,$B:$B,"Sous-tâche"),"To Do","In Progress")))</f>
        <v>To Do</v>
      </c>
      <c r="R130" s="14" t="s">
        <v>617</v>
      </c>
    </row>
    <row r="131" spans="1:18" ht="15" customHeight="1">
      <c r="A131" s="63" t="s">
        <v>660</v>
      </c>
      <c r="B131" s="63" t="s">
        <v>299</v>
      </c>
      <c r="C131" s="14" t="s">
        <v>28</v>
      </c>
      <c r="D131" s="14" t="s">
        <v>613</v>
      </c>
      <c r="E131" s="14" t="s">
        <v>657</v>
      </c>
      <c r="F131" s="63" t="s">
        <v>661</v>
      </c>
      <c r="G131" s="14"/>
      <c r="H131" s="63" t="s">
        <v>333</v>
      </c>
      <c r="I131" s="14" t="s">
        <v>11</v>
      </c>
      <c r="J131" s="58" t="s">
        <v>12</v>
      </c>
      <c r="K131" s="59">
        <v>5</v>
      </c>
      <c r="L131" s="15"/>
      <c r="M131" s="14" t="s">
        <v>289</v>
      </c>
      <c r="N131" s="14" t="s">
        <v>26</v>
      </c>
      <c r="O131" s="56" t="s">
        <v>297</v>
      </c>
      <c r="P131" s="14"/>
      <c r="Q131" s="14" t="s">
        <v>315</v>
      </c>
      <c r="R131" s="14" t="s">
        <v>617</v>
      </c>
    </row>
    <row r="132" spans="1:18" ht="30" customHeight="1">
      <c r="A132" s="21" t="s">
        <v>662</v>
      </c>
      <c r="B132" s="21" t="s">
        <v>286</v>
      </c>
      <c r="C132" s="21" t="s">
        <v>28</v>
      </c>
      <c r="D132" s="21" t="s">
        <v>662</v>
      </c>
      <c r="E132" s="21"/>
      <c r="F132" s="21" t="s">
        <v>663</v>
      </c>
      <c r="G132" s="21" t="s">
        <v>664</v>
      </c>
      <c r="H132" s="21"/>
      <c r="I132" s="21"/>
      <c r="J132" s="21"/>
      <c r="K132" s="50">
        <f>SUMIFS($K:$K,$D:$D,A132,$B:$B,"Sous-tâche")</f>
        <v>11.5</v>
      </c>
      <c r="L132" s="51">
        <f>SUMIFS($L:$L,$D:$D,A132,$B:$B,"Story")</f>
        <v>21</v>
      </c>
      <c r="M132" s="21" t="s">
        <v>312</v>
      </c>
      <c r="N132" s="21"/>
      <c r="O132" s="21"/>
      <c r="P132" s="21" t="s">
        <v>561</v>
      </c>
      <c r="Q132" s="52" t="str">
        <f>IF(COUNTIFS($D:$D,A132,$B:$B,"Sous-tâche")=0,"To Do",IF(COUNTIFS($D:$D,A132,$B:$B,"Sous-tâche",$Q:$Q,"Done")=COUNTIFS($D:$D,A132,$B:$B,"Sous-tâche"),"Done",IF(COUNTIFS($D:$D,A132,$B:$B,"Sous-tâche",$Q:$Q,"To Do")=COUNTIFS($D:$D,A132,$B:$B,"Sous-tâche"),"To Do","In Progress")))</f>
        <v>To Do</v>
      </c>
      <c r="R132" s="21" t="s">
        <v>665</v>
      </c>
    </row>
    <row r="133" spans="1:18" ht="103.5" customHeight="1">
      <c r="A133" s="53" t="s">
        <v>666</v>
      </c>
      <c r="B133" s="54" t="s">
        <v>293</v>
      </c>
      <c r="C133" s="14" t="s">
        <v>28</v>
      </c>
      <c r="D133" s="14" t="s">
        <v>662</v>
      </c>
      <c r="E133" s="14" t="s">
        <v>662</v>
      </c>
      <c r="F133" s="53" t="s">
        <v>667</v>
      </c>
      <c r="G133" s="14" t="s">
        <v>668</v>
      </c>
      <c r="H133" s="54" t="s">
        <v>346</v>
      </c>
      <c r="I133" s="14" t="s">
        <v>347</v>
      </c>
      <c r="J133" s="14" t="s">
        <v>12</v>
      </c>
      <c r="K133" s="30">
        <f>SUMIFS($K:$K,$E:$E,A133,$B:$B,"Sous-tâche")</f>
        <v>2.5</v>
      </c>
      <c r="L133" s="55">
        <v>5</v>
      </c>
      <c r="M133" s="14" t="s">
        <v>312</v>
      </c>
      <c r="N133" s="14" t="s">
        <v>23</v>
      </c>
      <c r="O133" s="14" t="s">
        <v>348</v>
      </c>
      <c r="P133" s="14" t="s">
        <v>561</v>
      </c>
      <c r="Q133" s="57" t="str">
        <f>IF(COUNTIFS($E:$E,A133,$B:$B,"Sous-tâche")=0,"To Do",IF(COUNTIFS($E:$E,A133,$B:$B,"Sous-tâche",$Q:$Q,"Done")=COUNTIFS($E:$E,A133,$B:$B,"Sous-tâche"),"Done",IF(COUNTIFS($E:$E,A133,$B:$B,"Sous-tâche",$Q:$Q,"To Do")=COUNTIFS($E:$E,A133,$B:$B,"Sous-tâche"),"To Do","In Progress")))</f>
        <v>To Do</v>
      </c>
      <c r="R133" s="14" t="s">
        <v>665</v>
      </c>
    </row>
    <row r="134" spans="1:18" ht="15" customHeight="1">
      <c r="A134" s="42" t="s">
        <v>669</v>
      </c>
      <c r="B134" s="42" t="s">
        <v>299</v>
      </c>
      <c r="C134" s="14" t="s">
        <v>28</v>
      </c>
      <c r="D134" s="14" t="s">
        <v>662</v>
      </c>
      <c r="E134" s="14" t="s">
        <v>666</v>
      </c>
      <c r="F134" s="42" t="s">
        <v>670</v>
      </c>
      <c r="G134" s="14"/>
      <c r="H134" s="42" t="s">
        <v>13</v>
      </c>
      <c r="I134" s="14" t="s">
        <v>13</v>
      </c>
      <c r="J134" s="42" t="s">
        <v>47</v>
      </c>
      <c r="K134" s="59">
        <v>1</v>
      </c>
      <c r="L134" s="15"/>
      <c r="M134" s="14" t="s">
        <v>312</v>
      </c>
      <c r="N134" s="14" t="s">
        <v>23</v>
      </c>
      <c r="O134" s="14" t="s">
        <v>348</v>
      </c>
      <c r="P134" s="14"/>
      <c r="Q134" s="14" t="s">
        <v>315</v>
      </c>
      <c r="R134" s="14" t="s">
        <v>665</v>
      </c>
    </row>
    <row r="135" spans="1:18" ht="15" customHeight="1">
      <c r="A135" s="58" t="s">
        <v>671</v>
      </c>
      <c r="B135" s="58" t="s">
        <v>299</v>
      </c>
      <c r="C135" s="14" t="s">
        <v>28</v>
      </c>
      <c r="D135" s="14" t="s">
        <v>662</v>
      </c>
      <c r="E135" s="14" t="s">
        <v>666</v>
      </c>
      <c r="F135" s="58" t="s">
        <v>672</v>
      </c>
      <c r="G135" s="14"/>
      <c r="H135" s="58" t="s">
        <v>296</v>
      </c>
      <c r="I135" s="14" t="s">
        <v>11</v>
      </c>
      <c r="J135" s="58" t="s">
        <v>12</v>
      </c>
      <c r="K135" s="59">
        <v>1.5</v>
      </c>
      <c r="L135" s="15"/>
      <c r="M135" s="14" t="s">
        <v>312</v>
      </c>
      <c r="N135" s="14" t="s">
        <v>23</v>
      </c>
      <c r="O135" s="14" t="s">
        <v>348</v>
      </c>
      <c r="P135" s="14"/>
      <c r="Q135" s="14" t="s">
        <v>315</v>
      </c>
      <c r="R135" s="14" t="s">
        <v>665</v>
      </c>
    </row>
    <row r="136" spans="1:18" ht="103.5" customHeight="1">
      <c r="A136" s="53" t="s">
        <v>673</v>
      </c>
      <c r="B136" s="54" t="s">
        <v>293</v>
      </c>
      <c r="C136" s="14" t="s">
        <v>28</v>
      </c>
      <c r="D136" s="14" t="s">
        <v>662</v>
      </c>
      <c r="E136" s="14" t="s">
        <v>662</v>
      </c>
      <c r="F136" s="53" t="s">
        <v>674</v>
      </c>
      <c r="G136" s="14" t="s">
        <v>675</v>
      </c>
      <c r="H136" s="54" t="s">
        <v>346</v>
      </c>
      <c r="I136" s="14" t="s">
        <v>347</v>
      </c>
      <c r="J136" s="14" t="s">
        <v>47</v>
      </c>
      <c r="K136" s="30">
        <f>SUMIFS($K:$K,$E:$E,A136,$B:$B,"Sous-tâche")</f>
        <v>2.5</v>
      </c>
      <c r="L136" s="55">
        <v>5</v>
      </c>
      <c r="M136" s="14" t="s">
        <v>312</v>
      </c>
      <c r="N136" s="14" t="s">
        <v>23</v>
      </c>
      <c r="O136" s="14" t="s">
        <v>348</v>
      </c>
      <c r="P136" s="14" t="s">
        <v>561</v>
      </c>
      <c r="Q136" s="57" t="str">
        <f>IF(COUNTIFS($E:$E,A136,$B:$B,"Sous-tâche")=0,"To Do",IF(COUNTIFS($E:$E,A136,$B:$B,"Sous-tâche",$Q:$Q,"Done")=COUNTIFS($E:$E,A136,$B:$B,"Sous-tâche"),"Done",IF(COUNTIFS($E:$E,A136,$B:$B,"Sous-tâche",$Q:$Q,"To Do")=COUNTIFS($E:$E,A136,$B:$B,"Sous-tâche"),"To Do","In Progress")))</f>
        <v>To Do</v>
      </c>
      <c r="R136" s="14" t="s">
        <v>665</v>
      </c>
    </row>
    <row r="137" spans="1:18" ht="15" customHeight="1">
      <c r="A137" s="42" t="s">
        <v>676</v>
      </c>
      <c r="B137" s="42" t="s">
        <v>299</v>
      </c>
      <c r="C137" s="14" t="s">
        <v>28</v>
      </c>
      <c r="D137" s="14" t="s">
        <v>662</v>
      </c>
      <c r="E137" s="14" t="s">
        <v>673</v>
      </c>
      <c r="F137" s="42" t="s">
        <v>677</v>
      </c>
      <c r="G137" s="14"/>
      <c r="H137" s="42" t="s">
        <v>13</v>
      </c>
      <c r="I137" s="14" t="s">
        <v>13</v>
      </c>
      <c r="J137" s="42" t="s">
        <v>47</v>
      </c>
      <c r="K137" s="59">
        <v>0.5</v>
      </c>
      <c r="L137" s="15"/>
      <c r="M137" s="14" t="s">
        <v>312</v>
      </c>
      <c r="N137" s="14" t="s">
        <v>23</v>
      </c>
      <c r="O137" s="14" t="s">
        <v>348</v>
      </c>
      <c r="P137" s="14"/>
      <c r="Q137" s="14" t="s">
        <v>315</v>
      </c>
      <c r="R137" s="14" t="s">
        <v>665</v>
      </c>
    </row>
    <row r="138" spans="1:18" ht="15" customHeight="1">
      <c r="A138" s="42" t="s">
        <v>678</v>
      </c>
      <c r="B138" s="42" t="s">
        <v>299</v>
      </c>
      <c r="C138" s="14" t="s">
        <v>28</v>
      </c>
      <c r="D138" s="14" t="s">
        <v>662</v>
      </c>
      <c r="E138" s="14" t="s">
        <v>673</v>
      </c>
      <c r="F138" s="42" t="s">
        <v>679</v>
      </c>
      <c r="G138" s="14"/>
      <c r="H138" s="42" t="s">
        <v>13</v>
      </c>
      <c r="I138" s="14" t="s">
        <v>13</v>
      </c>
      <c r="J138" s="42" t="s">
        <v>47</v>
      </c>
      <c r="K138" s="59">
        <v>1.5</v>
      </c>
      <c r="L138" s="15"/>
      <c r="M138" s="14" t="s">
        <v>312</v>
      </c>
      <c r="N138" s="14" t="s">
        <v>23</v>
      </c>
      <c r="O138" s="14" t="s">
        <v>348</v>
      </c>
      <c r="P138" s="14"/>
      <c r="Q138" s="14" t="s">
        <v>315</v>
      </c>
      <c r="R138" s="14" t="s">
        <v>665</v>
      </c>
    </row>
    <row r="139" spans="1:18" ht="15" customHeight="1">
      <c r="A139" s="58" t="s">
        <v>680</v>
      </c>
      <c r="B139" s="58" t="s">
        <v>299</v>
      </c>
      <c r="C139" s="14" t="s">
        <v>28</v>
      </c>
      <c r="D139" s="14" t="s">
        <v>662</v>
      </c>
      <c r="E139" s="14" t="s">
        <v>673</v>
      </c>
      <c r="F139" s="58" t="s">
        <v>681</v>
      </c>
      <c r="G139" s="14"/>
      <c r="H139" s="58" t="s">
        <v>296</v>
      </c>
      <c r="I139" s="14" t="s">
        <v>11</v>
      </c>
      <c r="J139" s="58" t="s">
        <v>12</v>
      </c>
      <c r="K139" s="59">
        <v>0.5</v>
      </c>
      <c r="L139" s="15"/>
      <c r="M139" s="14" t="s">
        <v>312</v>
      </c>
      <c r="N139" s="14" t="s">
        <v>23</v>
      </c>
      <c r="O139" s="14" t="s">
        <v>348</v>
      </c>
      <c r="P139" s="14"/>
      <c r="Q139" s="14" t="s">
        <v>315</v>
      </c>
      <c r="R139" s="14" t="s">
        <v>665</v>
      </c>
    </row>
    <row r="140" spans="1:18" ht="103.5" customHeight="1">
      <c r="A140" s="53" t="s">
        <v>682</v>
      </c>
      <c r="B140" s="54" t="s">
        <v>293</v>
      </c>
      <c r="C140" s="14" t="s">
        <v>28</v>
      </c>
      <c r="D140" s="14" t="s">
        <v>662</v>
      </c>
      <c r="E140" s="14" t="s">
        <v>662</v>
      </c>
      <c r="F140" s="53" t="s">
        <v>683</v>
      </c>
      <c r="G140" s="14" t="s">
        <v>684</v>
      </c>
      <c r="H140" s="54" t="s">
        <v>490</v>
      </c>
      <c r="I140" s="14" t="s">
        <v>491</v>
      </c>
      <c r="J140" s="14" t="s">
        <v>47</v>
      </c>
      <c r="K140" s="30">
        <f>SUMIFS($K:$K,$E:$E,A140,$B:$B,"Sous-tâche")</f>
        <v>4.5</v>
      </c>
      <c r="L140" s="55">
        <v>8</v>
      </c>
      <c r="M140" s="14" t="s">
        <v>312</v>
      </c>
      <c r="N140" s="14" t="s">
        <v>231</v>
      </c>
      <c r="O140" s="56" t="s">
        <v>297</v>
      </c>
      <c r="P140" s="14" t="s">
        <v>561</v>
      </c>
      <c r="Q140" s="57" t="str">
        <f>IF(COUNTIFS($E:$E,A140,$B:$B,"Sous-tâche")=0,"To Do",IF(COUNTIFS($E:$E,A140,$B:$B,"Sous-tâche",$Q:$Q,"Done")=COUNTIFS($E:$E,A140,$B:$B,"Sous-tâche"),"Done",IF(COUNTIFS($E:$E,A140,$B:$B,"Sous-tâche",$Q:$Q,"To Do")=COUNTIFS($E:$E,A140,$B:$B,"Sous-tâche"),"To Do","In Progress")))</f>
        <v>To Do</v>
      </c>
      <c r="R140" s="14" t="s">
        <v>665</v>
      </c>
    </row>
    <row r="141" spans="1:18" ht="15" customHeight="1">
      <c r="A141" s="42" t="s">
        <v>685</v>
      </c>
      <c r="B141" s="42" t="s">
        <v>299</v>
      </c>
      <c r="C141" s="14" t="s">
        <v>28</v>
      </c>
      <c r="D141" s="14" t="s">
        <v>662</v>
      </c>
      <c r="E141" s="14" t="s">
        <v>682</v>
      </c>
      <c r="F141" s="42" t="s">
        <v>686</v>
      </c>
      <c r="G141" s="14"/>
      <c r="H141" s="42" t="s">
        <v>13</v>
      </c>
      <c r="I141" s="14" t="s">
        <v>13</v>
      </c>
      <c r="J141" s="42" t="s">
        <v>47</v>
      </c>
      <c r="K141" s="59">
        <v>2.5</v>
      </c>
      <c r="L141" s="15"/>
      <c r="M141" s="14" t="s">
        <v>312</v>
      </c>
      <c r="N141" s="14" t="s">
        <v>231</v>
      </c>
      <c r="O141" s="56" t="s">
        <v>297</v>
      </c>
      <c r="P141" s="14"/>
      <c r="Q141" s="14" t="s">
        <v>315</v>
      </c>
      <c r="R141" s="14" t="s">
        <v>665</v>
      </c>
    </row>
    <row r="142" spans="1:18" ht="15" customHeight="1">
      <c r="A142" s="58" t="s">
        <v>687</v>
      </c>
      <c r="B142" s="58" t="s">
        <v>299</v>
      </c>
      <c r="C142" s="14" t="s">
        <v>28</v>
      </c>
      <c r="D142" s="14" t="s">
        <v>662</v>
      </c>
      <c r="E142" s="14" t="s">
        <v>682</v>
      </c>
      <c r="F142" s="58" t="s">
        <v>688</v>
      </c>
      <c r="G142" s="14"/>
      <c r="H142" s="58" t="s">
        <v>296</v>
      </c>
      <c r="I142" s="14" t="s">
        <v>11</v>
      </c>
      <c r="J142" s="58" t="s">
        <v>12</v>
      </c>
      <c r="K142" s="59">
        <v>1.5</v>
      </c>
      <c r="L142" s="15"/>
      <c r="M142" s="14" t="s">
        <v>312</v>
      </c>
      <c r="N142" s="14" t="s">
        <v>231</v>
      </c>
      <c r="O142" s="56" t="s">
        <v>297</v>
      </c>
      <c r="P142" s="14"/>
      <c r="Q142" s="14" t="s">
        <v>315</v>
      </c>
      <c r="R142" s="14" t="s">
        <v>665</v>
      </c>
    </row>
    <row r="143" spans="1:18" ht="15" customHeight="1">
      <c r="A143" s="62" t="s">
        <v>689</v>
      </c>
      <c r="B143" s="62" t="s">
        <v>299</v>
      </c>
      <c r="C143" s="14" t="s">
        <v>28</v>
      </c>
      <c r="D143" s="14" t="s">
        <v>662</v>
      </c>
      <c r="E143" s="14" t="s">
        <v>682</v>
      </c>
      <c r="F143" s="62" t="s">
        <v>690</v>
      </c>
      <c r="G143" s="14"/>
      <c r="H143" s="62" t="s">
        <v>17</v>
      </c>
      <c r="I143" s="14" t="s">
        <v>17</v>
      </c>
      <c r="J143" s="62" t="s">
        <v>18</v>
      </c>
      <c r="K143" s="59">
        <v>0.5</v>
      </c>
      <c r="L143" s="15"/>
      <c r="M143" s="14" t="s">
        <v>312</v>
      </c>
      <c r="N143" s="14" t="s">
        <v>231</v>
      </c>
      <c r="O143" s="56" t="s">
        <v>297</v>
      </c>
      <c r="P143" s="14"/>
      <c r="Q143" s="14" t="s">
        <v>315</v>
      </c>
      <c r="R143" s="14" t="s">
        <v>665</v>
      </c>
    </row>
    <row r="144" spans="1:18" ht="103.5" customHeight="1">
      <c r="A144" s="53" t="s">
        <v>691</v>
      </c>
      <c r="B144" s="54" t="s">
        <v>293</v>
      </c>
      <c r="C144" s="14" t="s">
        <v>28</v>
      </c>
      <c r="D144" s="14" t="s">
        <v>662</v>
      </c>
      <c r="E144" s="14" t="s">
        <v>662</v>
      </c>
      <c r="F144" s="53" t="s">
        <v>692</v>
      </c>
      <c r="G144" s="14" t="s">
        <v>693</v>
      </c>
      <c r="H144" s="54" t="s">
        <v>333</v>
      </c>
      <c r="I144" s="14" t="s">
        <v>11</v>
      </c>
      <c r="J144" s="14" t="s">
        <v>12</v>
      </c>
      <c r="K144" s="30">
        <f>SUMIFS($K:$K,$E:$E,A144,$B:$B,"Sous-tâche")</f>
        <v>2</v>
      </c>
      <c r="L144" s="55">
        <v>3</v>
      </c>
      <c r="M144" s="14" t="s">
        <v>312</v>
      </c>
      <c r="N144" s="14" t="s">
        <v>26</v>
      </c>
      <c r="O144" s="56" t="s">
        <v>297</v>
      </c>
      <c r="P144" s="14" t="s">
        <v>561</v>
      </c>
      <c r="Q144" s="57" t="str">
        <f>IF(COUNTIFS($E:$E,A144,$B:$B,"Sous-tâche")=0,"To Do",IF(COUNTIFS($E:$E,A144,$B:$B,"Sous-tâche",$Q:$Q,"Done")=COUNTIFS($E:$E,A144,$B:$B,"Sous-tâche"),"Done",IF(COUNTIFS($E:$E,A144,$B:$B,"Sous-tâche",$Q:$Q,"To Do")=COUNTIFS($E:$E,A144,$B:$B,"Sous-tâche"),"To Do","In Progress")))</f>
        <v>To Do</v>
      </c>
      <c r="R144" s="14" t="s">
        <v>665</v>
      </c>
    </row>
    <row r="145" spans="1:18" ht="15" customHeight="1">
      <c r="A145" s="63" t="s">
        <v>694</v>
      </c>
      <c r="B145" s="63" t="s">
        <v>299</v>
      </c>
      <c r="C145" s="14" t="s">
        <v>28</v>
      </c>
      <c r="D145" s="14" t="s">
        <v>662</v>
      </c>
      <c r="E145" s="14" t="s">
        <v>691</v>
      </c>
      <c r="F145" s="63" t="s">
        <v>695</v>
      </c>
      <c r="G145" s="14"/>
      <c r="H145" s="63" t="s">
        <v>333</v>
      </c>
      <c r="I145" s="14" t="s">
        <v>11</v>
      </c>
      <c r="J145" s="58" t="s">
        <v>12</v>
      </c>
      <c r="K145" s="59">
        <v>2</v>
      </c>
      <c r="L145" s="15"/>
      <c r="M145" s="14" t="s">
        <v>312</v>
      </c>
      <c r="N145" s="14" t="s">
        <v>26</v>
      </c>
      <c r="O145" s="56" t="s">
        <v>297</v>
      </c>
      <c r="P145" s="14"/>
      <c r="Q145" s="14" t="s">
        <v>315</v>
      </c>
      <c r="R145" s="14" t="s">
        <v>665</v>
      </c>
    </row>
    <row r="146" spans="1:18" ht="30" customHeight="1">
      <c r="A146" s="21" t="s">
        <v>696</v>
      </c>
      <c r="B146" s="21" t="s">
        <v>286</v>
      </c>
      <c r="C146" s="21" t="s">
        <v>28</v>
      </c>
      <c r="D146" s="21" t="s">
        <v>696</v>
      </c>
      <c r="E146" s="21"/>
      <c r="F146" s="21" t="s">
        <v>697</v>
      </c>
      <c r="G146" s="21" t="s">
        <v>698</v>
      </c>
      <c r="H146" s="21"/>
      <c r="I146" s="21"/>
      <c r="J146" s="21"/>
      <c r="K146" s="50">
        <f>SUMIFS($K:$K,$D:$D,A146,$B:$B,"Sous-tâche")</f>
        <v>23</v>
      </c>
      <c r="L146" s="51">
        <f>SUMIFS($L:$L,$D:$D,A146,$B:$B,"Story")</f>
        <v>39</v>
      </c>
      <c r="M146" s="21" t="s">
        <v>312</v>
      </c>
      <c r="N146" s="21"/>
      <c r="O146" s="21"/>
      <c r="P146" s="21" t="s">
        <v>699</v>
      </c>
      <c r="Q146" s="52" t="str">
        <f>IF(COUNTIFS($D:$D,A146,$B:$B,"Sous-tâche")=0,"To Do",IF(COUNTIFS($D:$D,A146,$B:$B,"Sous-tâche",$Q:$Q,"Done")=COUNTIFS($D:$D,A146,$B:$B,"Sous-tâche"),"Done",IF(COUNTIFS($D:$D,A146,$B:$B,"Sous-tâche",$Q:$Q,"To Do")=COUNTIFS($D:$D,A146,$B:$B,"Sous-tâche"),"To Do","In Progress")))</f>
        <v>To Do</v>
      </c>
      <c r="R146" s="21" t="s">
        <v>700</v>
      </c>
    </row>
    <row r="147" spans="1:18" ht="103.5" customHeight="1">
      <c r="A147" s="53" t="s">
        <v>701</v>
      </c>
      <c r="B147" s="54" t="s">
        <v>293</v>
      </c>
      <c r="C147" s="14" t="s">
        <v>28</v>
      </c>
      <c r="D147" s="14" t="s">
        <v>696</v>
      </c>
      <c r="E147" s="14" t="s">
        <v>696</v>
      </c>
      <c r="F147" s="53" t="s">
        <v>702</v>
      </c>
      <c r="G147" s="14" t="s">
        <v>703</v>
      </c>
      <c r="H147" s="54" t="s">
        <v>346</v>
      </c>
      <c r="I147" s="14" t="s">
        <v>347</v>
      </c>
      <c r="J147" s="14" t="s">
        <v>47</v>
      </c>
      <c r="K147" s="30">
        <f>SUMIFS($K:$K,$E:$E,A147,$B:$B,"Sous-tâche")</f>
        <v>7</v>
      </c>
      <c r="L147" s="55">
        <v>13</v>
      </c>
      <c r="M147" s="14" t="s">
        <v>312</v>
      </c>
      <c r="N147" s="14" t="s">
        <v>231</v>
      </c>
      <c r="O147" s="14" t="s">
        <v>348</v>
      </c>
      <c r="P147" s="14" t="s">
        <v>699</v>
      </c>
      <c r="Q147" s="57" t="str">
        <f>IF(COUNTIFS($E:$E,A147,$B:$B,"Sous-tâche")=0,"To Do",IF(COUNTIFS($E:$E,A147,$B:$B,"Sous-tâche",$Q:$Q,"Done")=COUNTIFS($E:$E,A147,$B:$B,"Sous-tâche"),"Done",IF(COUNTIFS($E:$E,A147,$B:$B,"Sous-tâche",$Q:$Q,"To Do")=COUNTIFS($E:$E,A147,$B:$B,"Sous-tâche"),"To Do","In Progress")))</f>
        <v>To Do</v>
      </c>
      <c r="R147" s="14" t="s">
        <v>700</v>
      </c>
    </row>
    <row r="148" spans="1:18" ht="15" customHeight="1">
      <c r="A148" s="42" t="s">
        <v>704</v>
      </c>
      <c r="B148" s="42" t="s">
        <v>299</v>
      </c>
      <c r="C148" s="14" t="s">
        <v>28</v>
      </c>
      <c r="D148" s="14" t="s">
        <v>696</v>
      </c>
      <c r="E148" s="14" t="s">
        <v>701</v>
      </c>
      <c r="F148" s="42" t="s">
        <v>705</v>
      </c>
      <c r="G148" s="14"/>
      <c r="H148" s="42" t="s">
        <v>13</v>
      </c>
      <c r="I148" s="14" t="s">
        <v>13</v>
      </c>
      <c r="J148" s="42" t="s">
        <v>47</v>
      </c>
      <c r="K148" s="59">
        <v>1.5</v>
      </c>
      <c r="L148" s="15"/>
      <c r="M148" s="14" t="s">
        <v>312</v>
      </c>
      <c r="N148" s="14" t="s">
        <v>231</v>
      </c>
      <c r="O148" s="14" t="s">
        <v>348</v>
      </c>
      <c r="P148" s="14"/>
      <c r="Q148" s="14" t="s">
        <v>315</v>
      </c>
      <c r="R148" s="14" t="s">
        <v>700</v>
      </c>
    </row>
    <row r="149" spans="1:18" ht="15" customHeight="1">
      <c r="A149" s="42" t="s">
        <v>706</v>
      </c>
      <c r="B149" s="42" t="s">
        <v>299</v>
      </c>
      <c r="C149" s="14" t="s">
        <v>28</v>
      </c>
      <c r="D149" s="14" t="s">
        <v>696</v>
      </c>
      <c r="E149" s="14" t="s">
        <v>701</v>
      </c>
      <c r="F149" s="42" t="s">
        <v>707</v>
      </c>
      <c r="G149" s="14"/>
      <c r="H149" s="42" t="s">
        <v>13</v>
      </c>
      <c r="I149" s="14" t="s">
        <v>13</v>
      </c>
      <c r="J149" s="42" t="s">
        <v>47</v>
      </c>
      <c r="K149" s="59">
        <v>2.5</v>
      </c>
      <c r="L149" s="15"/>
      <c r="M149" s="14" t="s">
        <v>312</v>
      </c>
      <c r="N149" s="14" t="s">
        <v>231</v>
      </c>
      <c r="O149" s="14" t="s">
        <v>348</v>
      </c>
      <c r="P149" s="14"/>
      <c r="Q149" s="14" t="s">
        <v>315</v>
      </c>
      <c r="R149" s="14" t="s">
        <v>700</v>
      </c>
    </row>
    <row r="150" spans="1:18" ht="15" customHeight="1">
      <c r="A150" s="58" t="s">
        <v>708</v>
      </c>
      <c r="B150" s="58" t="s">
        <v>299</v>
      </c>
      <c r="C150" s="14" t="s">
        <v>28</v>
      </c>
      <c r="D150" s="14" t="s">
        <v>696</v>
      </c>
      <c r="E150" s="14" t="s">
        <v>701</v>
      </c>
      <c r="F150" s="58" t="s">
        <v>709</v>
      </c>
      <c r="G150" s="14"/>
      <c r="H150" s="58" t="s">
        <v>296</v>
      </c>
      <c r="I150" s="14" t="s">
        <v>11</v>
      </c>
      <c r="J150" s="58" t="s">
        <v>12</v>
      </c>
      <c r="K150" s="59">
        <v>3</v>
      </c>
      <c r="L150" s="15"/>
      <c r="M150" s="14" t="s">
        <v>312</v>
      </c>
      <c r="N150" s="14" t="s">
        <v>231</v>
      </c>
      <c r="O150" s="14" t="s">
        <v>348</v>
      </c>
      <c r="P150" s="14"/>
      <c r="Q150" s="14" t="s">
        <v>315</v>
      </c>
      <c r="R150" s="14" t="s">
        <v>700</v>
      </c>
    </row>
    <row r="151" spans="1:18" ht="103.5" customHeight="1">
      <c r="A151" s="53" t="s">
        <v>710</v>
      </c>
      <c r="B151" s="54" t="s">
        <v>293</v>
      </c>
      <c r="C151" s="14" t="s">
        <v>28</v>
      </c>
      <c r="D151" s="14" t="s">
        <v>696</v>
      </c>
      <c r="E151" s="14" t="s">
        <v>696</v>
      </c>
      <c r="F151" s="53" t="s">
        <v>711</v>
      </c>
      <c r="G151" s="14" t="s">
        <v>712</v>
      </c>
      <c r="H151" s="54" t="s">
        <v>644</v>
      </c>
      <c r="I151" s="14" t="s">
        <v>347</v>
      </c>
      <c r="J151" s="14" t="s">
        <v>47</v>
      </c>
      <c r="K151" s="30">
        <f>SUMIFS($K:$K,$E:$E,A151,$B:$B,"Sous-tâche")</f>
        <v>8</v>
      </c>
      <c r="L151" s="55">
        <v>13</v>
      </c>
      <c r="M151" s="14" t="s">
        <v>312</v>
      </c>
      <c r="N151" s="14" t="s">
        <v>25</v>
      </c>
      <c r="O151" s="14" t="s">
        <v>348</v>
      </c>
      <c r="P151" s="14" t="s">
        <v>699</v>
      </c>
      <c r="Q151" s="57" t="str">
        <f>IF(COUNTIFS($E:$E,A151,$B:$B,"Sous-tâche")=0,"To Do",IF(COUNTIFS($E:$E,A151,$B:$B,"Sous-tâche",$Q:$Q,"Done")=COUNTIFS($E:$E,A151,$B:$B,"Sous-tâche"),"Done",IF(COUNTIFS($E:$E,A151,$B:$B,"Sous-tâche",$Q:$Q,"To Do")=COUNTIFS($E:$E,A151,$B:$B,"Sous-tâche"),"To Do","In Progress")))</f>
        <v>To Do</v>
      </c>
      <c r="R151" s="14" t="s">
        <v>700</v>
      </c>
    </row>
    <row r="152" spans="1:18" ht="15" customHeight="1">
      <c r="A152" s="42" t="s">
        <v>713</v>
      </c>
      <c r="B152" s="42" t="s">
        <v>299</v>
      </c>
      <c r="C152" s="14" t="s">
        <v>28</v>
      </c>
      <c r="D152" s="14" t="s">
        <v>696</v>
      </c>
      <c r="E152" s="14" t="s">
        <v>710</v>
      </c>
      <c r="F152" s="42" t="s">
        <v>714</v>
      </c>
      <c r="G152" s="14"/>
      <c r="H152" s="42" t="s">
        <v>13</v>
      </c>
      <c r="I152" s="14" t="s">
        <v>13</v>
      </c>
      <c r="J152" s="42" t="s">
        <v>47</v>
      </c>
      <c r="K152" s="59">
        <v>3.5</v>
      </c>
      <c r="L152" s="15"/>
      <c r="M152" s="14" t="s">
        <v>312</v>
      </c>
      <c r="N152" s="14" t="s">
        <v>25</v>
      </c>
      <c r="O152" s="14" t="s">
        <v>348</v>
      </c>
      <c r="P152" s="14"/>
      <c r="Q152" s="14" t="s">
        <v>315</v>
      </c>
      <c r="R152" s="14" t="s">
        <v>700</v>
      </c>
    </row>
    <row r="153" spans="1:18" ht="15" customHeight="1">
      <c r="A153" s="63" t="s">
        <v>715</v>
      </c>
      <c r="B153" s="63" t="s">
        <v>299</v>
      </c>
      <c r="C153" s="14" t="s">
        <v>28</v>
      </c>
      <c r="D153" s="14" t="s">
        <v>696</v>
      </c>
      <c r="E153" s="14" t="s">
        <v>710</v>
      </c>
      <c r="F153" s="63" t="s">
        <v>716</v>
      </c>
      <c r="G153" s="14"/>
      <c r="H153" s="63" t="s">
        <v>333</v>
      </c>
      <c r="I153" s="14" t="s">
        <v>11</v>
      </c>
      <c r="J153" s="58" t="s">
        <v>12</v>
      </c>
      <c r="K153" s="59">
        <v>3</v>
      </c>
      <c r="L153" s="15"/>
      <c r="M153" s="14" t="s">
        <v>312</v>
      </c>
      <c r="N153" s="14" t="s">
        <v>25</v>
      </c>
      <c r="O153" s="14" t="s">
        <v>348</v>
      </c>
      <c r="P153" s="14"/>
      <c r="Q153" s="14" t="s">
        <v>315</v>
      </c>
      <c r="R153" s="14" t="s">
        <v>700</v>
      </c>
    </row>
    <row r="154" spans="1:18" ht="15" customHeight="1">
      <c r="A154" s="42" t="s">
        <v>717</v>
      </c>
      <c r="B154" s="42" t="s">
        <v>299</v>
      </c>
      <c r="C154" s="14" t="s">
        <v>28</v>
      </c>
      <c r="D154" s="14" t="s">
        <v>696</v>
      </c>
      <c r="E154" s="14" t="s">
        <v>710</v>
      </c>
      <c r="F154" s="42" t="s">
        <v>718</v>
      </c>
      <c r="G154" s="14"/>
      <c r="H154" s="42" t="s">
        <v>13</v>
      </c>
      <c r="I154" s="14" t="s">
        <v>13</v>
      </c>
      <c r="J154" s="42" t="s">
        <v>47</v>
      </c>
      <c r="K154" s="59">
        <v>0.5</v>
      </c>
      <c r="L154" s="15"/>
      <c r="M154" s="14" t="s">
        <v>312</v>
      </c>
      <c r="N154" s="14" t="s">
        <v>25</v>
      </c>
      <c r="O154" s="14" t="s">
        <v>348</v>
      </c>
      <c r="P154" s="14"/>
      <c r="Q154" s="14" t="s">
        <v>315</v>
      </c>
      <c r="R154" s="14" t="s">
        <v>700</v>
      </c>
    </row>
    <row r="155" spans="1:18" ht="15" customHeight="1">
      <c r="A155" s="42" t="s">
        <v>719</v>
      </c>
      <c r="B155" s="42" t="s">
        <v>299</v>
      </c>
      <c r="C155" s="14" t="s">
        <v>28</v>
      </c>
      <c r="D155" s="14" t="s">
        <v>696</v>
      </c>
      <c r="E155" s="14" t="s">
        <v>710</v>
      </c>
      <c r="F155" s="42" t="s">
        <v>720</v>
      </c>
      <c r="G155" s="14"/>
      <c r="H155" s="42" t="s">
        <v>13</v>
      </c>
      <c r="I155" s="14" t="s">
        <v>13</v>
      </c>
      <c r="J155" s="42" t="s">
        <v>47</v>
      </c>
      <c r="K155" s="59">
        <v>1</v>
      </c>
      <c r="L155" s="15"/>
      <c r="M155" s="14" t="s">
        <v>312</v>
      </c>
      <c r="N155" s="14" t="s">
        <v>25</v>
      </c>
      <c r="O155" s="14" t="s">
        <v>348</v>
      </c>
      <c r="P155" s="14"/>
      <c r="Q155" s="14" t="s">
        <v>315</v>
      </c>
      <c r="R155" s="14" t="s">
        <v>700</v>
      </c>
    </row>
    <row r="156" spans="1:18" ht="90.75" customHeight="1">
      <c r="A156" s="53" t="s">
        <v>721</v>
      </c>
      <c r="B156" s="54" t="s">
        <v>293</v>
      </c>
      <c r="C156" s="14" t="s">
        <v>28</v>
      </c>
      <c r="D156" s="14" t="s">
        <v>696</v>
      </c>
      <c r="E156" s="14" t="s">
        <v>696</v>
      </c>
      <c r="F156" s="53" t="s">
        <v>722</v>
      </c>
      <c r="G156" s="14" t="s">
        <v>723</v>
      </c>
      <c r="H156" s="54" t="s">
        <v>346</v>
      </c>
      <c r="I156" s="14" t="s">
        <v>347</v>
      </c>
      <c r="J156" s="14" t="s">
        <v>12</v>
      </c>
      <c r="K156" s="30">
        <f>SUMIFS($K:$K,$E:$E,A156,$B:$B,"Sous-tâche")</f>
        <v>3</v>
      </c>
      <c r="L156" s="55">
        <v>5</v>
      </c>
      <c r="M156" s="14" t="s">
        <v>652</v>
      </c>
      <c r="N156" s="14" t="s">
        <v>25</v>
      </c>
      <c r="O156" s="14" t="s">
        <v>348</v>
      </c>
      <c r="P156" s="14" t="s">
        <v>699</v>
      </c>
      <c r="Q156" s="57" t="str">
        <f>IF(COUNTIFS($E:$E,A156,$B:$B,"Sous-tâche")=0,"To Do",IF(COUNTIFS($E:$E,A156,$B:$B,"Sous-tâche",$Q:$Q,"Done")=COUNTIFS($E:$E,A156,$B:$B,"Sous-tâche"),"Done",IF(COUNTIFS($E:$E,A156,$B:$B,"Sous-tâche",$Q:$Q,"To Do")=COUNTIFS($E:$E,A156,$B:$B,"Sous-tâche"),"To Do","In Progress")))</f>
        <v>To Do</v>
      </c>
      <c r="R156" s="14" t="s">
        <v>700</v>
      </c>
    </row>
    <row r="157" spans="1:18" ht="15" customHeight="1">
      <c r="A157" s="42" t="s">
        <v>724</v>
      </c>
      <c r="B157" s="42" t="s">
        <v>299</v>
      </c>
      <c r="C157" s="14" t="s">
        <v>28</v>
      </c>
      <c r="D157" s="14" t="s">
        <v>696</v>
      </c>
      <c r="E157" s="14" t="s">
        <v>721</v>
      </c>
      <c r="F157" s="42" t="s">
        <v>725</v>
      </c>
      <c r="G157" s="14"/>
      <c r="H157" s="42" t="s">
        <v>13</v>
      </c>
      <c r="I157" s="14" t="s">
        <v>13</v>
      </c>
      <c r="J157" s="42" t="s">
        <v>47</v>
      </c>
      <c r="K157" s="59">
        <v>1</v>
      </c>
      <c r="L157" s="15"/>
      <c r="M157" s="14" t="s">
        <v>652</v>
      </c>
      <c r="N157" s="14" t="s">
        <v>25</v>
      </c>
      <c r="O157" s="14" t="s">
        <v>348</v>
      </c>
      <c r="P157" s="14"/>
      <c r="Q157" s="14" t="s">
        <v>315</v>
      </c>
      <c r="R157" s="14" t="s">
        <v>700</v>
      </c>
    </row>
    <row r="158" spans="1:18" ht="15" customHeight="1">
      <c r="A158" s="58" t="s">
        <v>726</v>
      </c>
      <c r="B158" s="58" t="s">
        <v>299</v>
      </c>
      <c r="C158" s="14" t="s">
        <v>28</v>
      </c>
      <c r="D158" s="14" t="s">
        <v>696</v>
      </c>
      <c r="E158" s="14" t="s">
        <v>721</v>
      </c>
      <c r="F158" s="58" t="s">
        <v>727</v>
      </c>
      <c r="G158" s="14"/>
      <c r="H158" s="58" t="s">
        <v>296</v>
      </c>
      <c r="I158" s="14" t="s">
        <v>11</v>
      </c>
      <c r="J158" s="58" t="s">
        <v>12</v>
      </c>
      <c r="K158" s="59">
        <v>2</v>
      </c>
      <c r="L158" s="15"/>
      <c r="M158" s="14" t="s">
        <v>652</v>
      </c>
      <c r="N158" s="14" t="s">
        <v>25</v>
      </c>
      <c r="O158" s="14" t="s">
        <v>348</v>
      </c>
      <c r="P158" s="14"/>
      <c r="Q158" s="14" t="s">
        <v>315</v>
      </c>
      <c r="R158" s="14" t="s">
        <v>700</v>
      </c>
    </row>
    <row r="159" spans="1:18" ht="90.75" customHeight="1">
      <c r="A159" s="53" t="s">
        <v>728</v>
      </c>
      <c r="B159" s="54" t="s">
        <v>293</v>
      </c>
      <c r="C159" s="14" t="s">
        <v>28</v>
      </c>
      <c r="D159" s="14" t="s">
        <v>696</v>
      </c>
      <c r="E159" s="14" t="s">
        <v>696</v>
      </c>
      <c r="F159" s="53" t="s">
        <v>729</v>
      </c>
      <c r="G159" s="14" t="s">
        <v>730</v>
      </c>
      <c r="H159" s="54" t="s">
        <v>346</v>
      </c>
      <c r="I159" s="14" t="s">
        <v>347</v>
      </c>
      <c r="J159" s="14" t="s">
        <v>12</v>
      </c>
      <c r="K159" s="30">
        <f>SUMIFS($K:$K,$E:$E,A159,$B:$B,"Sous-tâche")</f>
        <v>2</v>
      </c>
      <c r="L159" s="55">
        <v>3</v>
      </c>
      <c r="M159" s="14" t="s">
        <v>312</v>
      </c>
      <c r="N159" s="14" t="s">
        <v>25</v>
      </c>
      <c r="O159" s="14" t="s">
        <v>348</v>
      </c>
      <c r="P159" s="14" t="s">
        <v>699</v>
      </c>
      <c r="Q159" s="57" t="str">
        <f>IF(COUNTIFS($E:$E,A159,$B:$B,"Sous-tâche")=0,"To Do",IF(COUNTIFS($E:$E,A159,$B:$B,"Sous-tâche",$Q:$Q,"Done")=COUNTIFS($E:$E,A159,$B:$B,"Sous-tâche"),"Done",IF(COUNTIFS($E:$E,A159,$B:$B,"Sous-tâche",$Q:$Q,"To Do")=COUNTIFS($E:$E,A159,$B:$B,"Sous-tâche"),"To Do","In Progress")))</f>
        <v>To Do</v>
      </c>
      <c r="R159" s="14" t="s">
        <v>700</v>
      </c>
    </row>
    <row r="160" spans="1:18" ht="15" customHeight="1">
      <c r="A160" s="42" t="s">
        <v>731</v>
      </c>
      <c r="B160" s="42" t="s">
        <v>299</v>
      </c>
      <c r="C160" s="14" t="s">
        <v>28</v>
      </c>
      <c r="D160" s="14" t="s">
        <v>696</v>
      </c>
      <c r="E160" s="14" t="s">
        <v>728</v>
      </c>
      <c r="F160" s="42" t="s">
        <v>732</v>
      </c>
      <c r="G160" s="14"/>
      <c r="H160" s="42" t="s">
        <v>13</v>
      </c>
      <c r="I160" s="14" t="s">
        <v>13</v>
      </c>
      <c r="J160" s="42" t="s">
        <v>47</v>
      </c>
      <c r="K160" s="59">
        <v>1</v>
      </c>
      <c r="L160" s="15"/>
      <c r="M160" s="14" t="s">
        <v>312</v>
      </c>
      <c r="N160" s="14" t="s">
        <v>25</v>
      </c>
      <c r="O160" s="14" t="s">
        <v>348</v>
      </c>
      <c r="P160" s="14"/>
      <c r="Q160" s="14" t="s">
        <v>315</v>
      </c>
      <c r="R160" s="14" t="s">
        <v>700</v>
      </c>
    </row>
    <row r="161" spans="1:18" ht="15" customHeight="1">
      <c r="A161" s="58" t="s">
        <v>733</v>
      </c>
      <c r="B161" s="58" t="s">
        <v>299</v>
      </c>
      <c r="C161" s="14" t="s">
        <v>28</v>
      </c>
      <c r="D161" s="14" t="s">
        <v>696</v>
      </c>
      <c r="E161" s="14" t="s">
        <v>728</v>
      </c>
      <c r="F161" s="58" t="s">
        <v>734</v>
      </c>
      <c r="G161" s="14"/>
      <c r="H161" s="58" t="s">
        <v>296</v>
      </c>
      <c r="I161" s="14" t="s">
        <v>11</v>
      </c>
      <c r="J161" s="58" t="s">
        <v>12</v>
      </c>
      <c r="K161" s="59">
        <v>1</v>
      </c>
      <c r="L161" s="15"/>
      <c r="M161" s="14" t="s">
        <v>312</v>
      </c>
      <c r="N161" s="14" t="s">
        <v>25</v>
      </c>
      <c r="O161" s="14" t="s">
        <v>348</v>
      </c>
      <c r="P161" s="14"/>
      <c r="Q161" s="14" t="s">
        <v>315</v>
      </c>
      <c r="R161" s="14" t="s">
        <v>700</v>
      </c>
    </row>
    <row r="162" spans="1:18" ht="103.5" customHeight="1">
      <c r="A162" s="53" t="s">
        <v>735</v>
      </c>
      <c r="B162" s="54" t="s">
        <v>293</v>
      </c>
      <c r="C162" s="14" t="s">
        <v>28</v>
      </c>
      <c r="D162" s="14" t="s">
        <v>696</v>
      </c>
      <c r="E162" s="14" t="s">
        <v>696</v>
      </c>
      <c r="F162" s="53" t="s">
        <v>736</v>
      </c>
      <c r="G162" s="14" t="s">
        <v>737</v>
      </c>
      <c r="H162" s="54" t="s">
        <v>333</v>
      </c>
      <c r="I162" s="14" t="s">
        <v>11</v>
      </c>
      <c r="J162" s="14" t="s">
        <v>12</v>
      </c>
      <c r="K162" s="30">
        <f>SUMIFS($K:$K,$E:$E,A162,$B:$B,"Sous-tâche")</f>
        <v>3</v>
      </c>
      <c r="L162" s="55">
        <v>5</v>
      </c>
      <c r="M162" s="14" t="s">
        <v>312</v>
      </c>
      <c r="N162" s="14" t="s">
        <v>26</v>
      </c>
      <c r="O162" s="56" t="s">
        <v>297</v>
      </c>
      <c r="P162" s="14" t="s">
        <v>699</v>
      </c>
      <c r="Q162" s="57" t="str">
        <f>IF(COUNTIFS($E:$E,A162,$B:$B,"Sous-tâche")=0,"To Do",IF(COUNTIFS($E:$E,A162,$B:$B,"Sous-tâche",$Q:$Q,"Done")=COUNTIFS($E:$E,A162,$B:$B,"Sous-tâche"),"Done",IF(COUNTIFS($E:$E,A162,$B:$B,"Sous-tâche",$Q:$Q,"To Do")=COUNTIFS($E:$E,A162,$B:$B,"Sous-tâche"),"To Do","In Progress")))</f>
        <v>To Do</v>
      </c>
      <c r="R162" s="14" t="s">
        <v>700</v>
      </c>
    </row>
    <row r="163" spans="1:18" ht="15" customHeight="1">
      <c r="A163" s="63" t="s">
        <v>738</v>
      </c>
      <c r="B163" s="63" t="s">
        <v>299</v>
      </c>
      <c r="C163" s="14" t="s">
        <v>28</v>
      </c>
      <c r="D163" s="14" t="s">
        <v>696</v>
      </c>
      <c r="E163" s="14" t="s">
        <v>735</v>
      </c>
      <c r="F163" s="63" t="s">
        <v>739</v>
      </c>
      <c r="G163" s="14"/>
      <c r="H163" s="63" t="s">
        <v>333</v>
      </c>
      <c r="I163" s="14" t="s">
        <v>11</v>
      </c>
      <c r="J163" s="58" t="s">
        <v>12</v>
      </c>
      <c r="K163" s="59">
        <v>3</v>
      </c>
      <c r="L163" s="15"/>
      <c r="M163" s="14" t="s">
        <v>312</v>
      </c>
      <c r="N163" s="14" t="s">
        <v>26</v>
      </c>
      <c r="O163" s="56" t="s">
        <v>297</v>
      </c>
      <c r="P163" s="14"/>
      <c r="Q163" s="14" t="s">
        <v>315</v>
      </c>
      <c r="R163" s="14" t="s">
        <v>700</v>
      </c>
    </row>
    <row r="164" spans="1:18" ht="30" customHeight="1">
      <c r="A164" s="22" t="s">
        <v>740</v>
      </c>
      <c r="B164" s="22" t="s">
        <v>286</v>
      </c>
      <c r="C164" s="22" t="s">
        <v>29</v>
      </c>
      <c r="D164" s="22" t="s">
        <v>740</v>
      </c>
      <c r="E164" s="22"/>
      <c r="F164" s="22" t="s">
        <v>741</v>
      </c>
      <c r="G164" s="22" t="s">
        <v>742</v>
      </c>
      <c r="H164" s="22"/>
      <c r="I164" s="22"/>
      <c r="J164" s="22"/>
      <c r="K164" s="64">
        <f>SUMIFS($K:$K,$D:$D,A164,$B:$B,"Sous-tâche")</f>
        <v>5</v>
      </c>
      <c r="L164" s="65">
        <f>SUMIFS($L:$L,$D:$D,A164,$B:$B,"Story")</f>
        <v>9</v>
      </c>
      <c r="M164" s="22" t="s">
        <v>652</v>
      </c>
      <c r="N164" s="22"/>
      <c r="O164" s="22"/>
      <c r="P164" s="22" t="s">
        <v>561</v>
      </c>
      <c r="Q164" s="66" t="str">
        <f>IF(COUNTIFS($D:$D,A164,$B:$B,"Sous-tâche")=0,"To Do",IF(COUNTIFS($D:$D,A164,$B:$B,"Sous-tâche",$Q:$Q,"Done")=COUNTIFS($D:$D,A164,$B:$B,"Sous-tâche"),"Done",IF(COUNTIFS($D:$D,A164,$B:$B,"Sous-tâche",$Q:$Q,"To Do")=COUNTIFS($D:$D,A164,$B:$B,"Sous-tâche"),"To Do","In Progress")))</f>
        <v>To Do</v>
      </c>
      <c r="R164" s="22" t="s">
        <v>743</v>
      </c>
    </row>
    <row r="165" spans="1:18" ht="103.5" customHeight="1">
      <c r="A165" s="53" t="s">
        <v>744</v>
      </c>
      <c r="B165" s="54" t="s">
        <v>293</v>
      </c>
      <c r="C165" s="14" t="s">
        <v>29</v>
      </c>
      <c r="D165" s="14" t="s">
        <v>740</v>
      </c>
      <c r="E165" s="14" t="s">
        <v>740</v>
      </c>
      <c r="F165" s="53" t="s">
        <v>745</v>
      </c>
      <c r="G165" s="14" t="s">
        <v>746</v>
      </c>
      <c r="H165" s="54" t="s">
        <v>346</v>
      </c>
      <c r="I165" s="14" t="s">
        <v>347</v>
      </c>
      <c r="J165" s="14" t="s">
        <v>12</v>
      </c>
      <c r="K165" s="30">
        <f>SUMIFS($K:$K,$E:$E,A165,$B:$B,"Sous-tâche")</f>
        <v>3</v>
      </c>
      <c r="L165" s="55">
        <v>5</v>
      </c>
      <c r="M165" s="14" t="s">
        <v>652</v>
      </c>
      <c r="N165" s="14" t="s">
        <v>238</v>
      </c>
      <c r="O165" s="56" t="s">
        <v>381</v>
      </c>
      <c r="P165" s="14" t="s">
        <v>561</v>
      </c>
      <c r="Q165" s="57" t="str">
        <f>IF(COUNTIFS($E:$E,A165,$B:$B,"Sous-tâche")=0,"To Do",IF(COUNTIFS($E:$E,A165,$B:$B,"Sous-tâche",$Q:$Q,"Done")=COUNTIFS($E:$E,A165,$B:$B,"Sous-tâche"),"Done",IF(COUNTIFS($E:$E,A165,$B:$B,"Sous-tâche",$Q:$Q,"To Do")=COUNTIFS($E:$E,A165,$B:$B,"Sous-tâche"),"To Do","In Progress")))</f>
        <v>To Do</v>
      </c>
      <c r="R165" s="14" t="s">
        <v>743</v>
      </c>
    </row>
    <row r="166" spans="1:18" ht="15" customHeight="1">
      <c r="A166" s="42" t="s">
        <v>747</v>
      </c>
      <c r="B166" s="42" t="s">
        <v>299</v>
      </c>
      <c r="C166" s="14" t="s">
        <v>29</v>
      </c>
      <c r="D166" s="14" t="s">
        <v>740</v>
      </c>
      <c r="E166" s="14" t="s">
        <v>744</v>
      </c>
      <c r="F166" s="42" t="s">
        <v>748</v>
      </c>
      <c r="G166" s="14"/>
      <c r="H166" s="42" t="s">
        <v>13</v>
      </c>
      <c r="I166" s="14" t="s">
        <v>13</v>
      </c>
      <c r="J166" s="42" t="s">
        <v>47</v>
      </c>
      <c r="K166" s="59">
        <v>0.25</v>
      </c>
      <c r="L166" s="15"/>
      <c r="M166" s="14" t="s">
        <v>652</v>
      </c>
      <c r="N166" s="14" t="s">
        <v>238</v>
      </c>
      <c r="O166" s="14" t="s">
        <v>348</v>
      </c>
      <c r="P166" s="14"/>
      <c r="Q166" s="14" t="s">
        <v>315</v>
      </c>
      <c r="R166" s="14" t="s">
        <v>743</v>
      </c>
    </row>
    <row r="167" spans="1:18" ht="15" customHeight="1">
      <c r="A167" s="42" t="s">
        <v>749</v>
      </c>
      <c r="B167" s="42" t="s">
        <v>299</v>
      </c>
      <c r="C167" s="14" t="s">
        <v>29</v>
      </c>
      <c r="D167" s="14" t="s">
        <v>740</v>
      </c>
      <c r="E167" s="14" t="s">
        <v>744</v>
      </c>
      <c r="F167" s="42" t="s">
        <v>750</v>
      </c>
      <c r="G167" s="14"/>
      <c r="H167" s="42" t="s">
        <v>13</v>
      </c>
      <c r="I167" s="14" t="s">
        <v>13</v>
      </c>
      <c r="J167" s="42" t="s">
        <v>47</v>
      </c>
      <c r="K167" s="59">
        <v>0.75</v>
      </c>
      <c r="L167" s="15"/>
      <c r="M167" s="14" t="s">
        <v>652</v>
      </c>
      <c r="N167" s="14" t="s">
        <v>238</v>
      </c>
      <c r="O167" s="14" t="s">
        <v>348</v>
      </c>
      <c r="P167" s="14"/>
      <c r="Q167" s="14" t="s">
        <v>315</v>
      </c>
      <c r="R167" s="14" t="s">
        <v>743</v>
      </c>
    </row>
    <row r="168" spans="1:18" ht="15" customHeight="1">
      <c r="A168" s="58" t="s">
        <v>751</v>
      </c>
      <c r="B168" s="58" t="s">
        <v>299</v>
      </c>
      <c r="C168" s="14" t="s">
        <v>29</v>
      </c>
      <c r="D168" s="14" t="s">
        <v>740</v>
      </c>
      <c r="E168" s="14" t="s">
        <v>744</v>
      </c>
      <c r="F168" s="58" t="s">
        <v>752</v>
      </c>
      <c r="G168" s="14"/>
      <c r="H168" s="58" t="s">
        <v>296</v>
      </c>
      <c r="I168" s="14" t="s">
        <v>11</v>
      </c>
      <c r="J168" s="58" t="s">
        <v>12</v>
      </c>
      <c r="K168" s="59">
        <v>1</v>
      </c>
      <c r="L168" s="15"/>
      <c r="M168" s="14" t="s">
        <v>652</v>
      </c>
      <c r="N168" s="14" t="s">
        <v>238</v>
      </c>
      <c r="O168" s="14" t="s">
        <v>348</v>
      </c>
      <c r="P168" s="14"/>
      <c r="Q168" s="14" t="s">
        <v>315</v>
      </c>
      <c r="R168" s="14" t="s">
        <v>743</v>
      </c>
    </row>
    <row r="169" spans="1:18" ht="15" customHeight="1">
      <c r="A169" s="58" t="s">
        <v>753</v>
      </c>
      <c r="B169" s="58" t="s">
        <v>299</v>
      </c>
      <c r="C169" s="14" t="s">
        <v>29</v>
      </c>
      <c r="D169" s="14" t="s">
        <v>740</v>
      </c>
      <c r="E169" s="14" t="s">
        <v>744</v>
      </c>
      <c r="F169" s="58" t="s">
        <v>754</v>
      </c>
      <c r="G169" s="14"/>
      <c r="H169" s="58" t="s">
        <v>296</v>
      </c>
      <c r="I169" s="14" t="s">
        <v>11</v>
      </c>
      <c r="J169" s="58" t="s">
        <v>12</v>
      </c>
      <c r="K169" s="59">
        <v>0.5</v>
      </c>
      <c r="L169" s="15"/>
      <c r="M169" s="14" t="s">
        <v>652</v>
      </c>
      <c r="N169" s="14" t="s">
        <v>238</v>
      </c>
      <c r="O169" s="56" t="s">
        <v>297</v>
      </c>
      <c r="P169" s="14"/>
      <c r="Q169" s="14" t="s">
        <v>315</v>
      </c>
      <c r="R169" s="14" t="s">
        <v>743</v>
      </c>
    </row>
    <row r="170" spans="1:18" ht="15" customHeight="1">
      <c r="A170" s="42" t="s">
        <v>755</v>
      </c>
      <c r="B170" s="42" t="s">
        <v>299</v>
      </c>
      <c r="C170" s="14" t="s">
        <v>29</v>
      </c>
      <c r="D170" s="14" t="s">
        <v>740</v>
      </c>
      <c r="E170" s="14" t="s">
        <v>744</v>
      </c>
      <c r="F170" s="42" t="s">
        <v>756</v>
      </c>
      <c r="G170" s="14"/>
      <c r="H170" s="42" t="s">
        <v>13</v>
      </c>
      <c r="I170" s="14" t="s">
        <v>13</v>
      </c>
      <c r="J170" s="42" t="s">
        <v>47</v>
      </c>
      <c r="K170" s="59">
        <v>0.5</v>
      </c>
      <c r="L170" s="15"/>
      <c r="M170" s="14" t="s">
        <v>652</v>
      </c>
      <c r="N170" s="14" t="s">
        <v>238</v>
      </c>
      <c r="O170" s="56" t="s">
        <v>297</v>
      </c>
      <c r="P170" s="14"/>
      <c r="Q170" s="14" t="s">
        <v>315</v>
      </c>
      <c r="R170" s="14" t="s">
        <v>743</v>
      </c>
    </row>
    <row r="171" spans="1:18" ht="90.75" customHeight="1">
      <c r="A171" s="53" t="s">
        <v>757</v>
      </c>
      <c r="B171" s="54" t="s">
        <v>293</v>
      </c>
      <c r="C171" s="14" t="s">
        <v>29</v>
      </c>
      <c r="D171" s="14" t="s">
        <v>740</v>
      </c>
      <c r="E171" s="14" t="s">
        <v>740</v>
      </c>
      <c r="F171" s="53" t="s">
        <v>758</v>
      </c>
      <c r="G171" s="14" t="s">
        <v>759</v>
      </c>
      <c r="H171" s="54" t="s">
        <v>346</v>
      </c>
      <c r="I171" s="14" t="s">
        <v>347</v>
      </c>
      <c r="J171" s="14" t="s">
        <v>12</v>
      </c>
      <c r="K171" s="30">
        <f>SUMIFS($K:$K,$E:$E,A171,$B:$B,"Sous-tâche")</f>
        <v>1</v>
      </c>
      <c r="L171" s="55">
        <v>2</v>
      </c>
      <c r="M171" s="14" t="s">
        <v>652</v>
      </c>
      <c r="N171" s="14" t="s">
        <v>238</v>
      </c>
      <c r="O171" s="14" t="s">
        <v>348</v>
      </c>
      <c r="P171" s="14" t="s">
        <v>561</v>
      </c>
      <c r="Q171" s="57" t="str">
        <f>IF(COUNTIFS($E:$E,A171,$B:$B,"Sous-tâche")=0,"To Do",IF(COUNTIFS($E:$E,A171,$B:$B,"Sous-tâche",$Q:$Q,"Done")=COUNTIFS($E:$E,A171,$B:$B,"Sous-tâche"),"Done",IF(COUNTIFS($E:$E,A171,$B:$B,"Sous-tâche",$Q:$Q,"To Do")=COUNTIFS($E:$E,A171,$B:$B,"Sous-tâche"),"To Do","In Progress")))</f>
        <v>To Do</v>
      </c>
      <c r="R171" s="14" t="s">
        <v>743</v>
      </c>
    </row>
    <row r="172" spans="1:18" ht="15" customHeight="1">
      <c r="A172" s="58" t="s">
        <v>760</v>
      </c>
      <c r="B172" s="58" t="s">
        <v>299</v>
      </c>
      <c r="C172" s="14" t="s">
        <v>29</v>
      </c>
      <c r="D172" s="14" t="s">
        <v>740</v>
      </c>
      <c r="E172" s="14" t="s">
        <v>757</v>
      </c>
      <c r="F172" s="58" t="s">
        <v>761</v>
      </c>
      <c r="G172" s="14"/>
      <c r="H172" s="58" t="s">
        <v>296</v>
      </c>
      <c r="I172" s="14" t="s">
        <v>11</v>
      </c>
      <c r="J172" s="58" t="s">
        <v>12</v>
      </c>
      <c r="K172" s="59">
        <v>0.5</v>
      </c>
      <c r="L172" s="15"/>
      <c r="M172" s="14" t="s">
        <v>652</v>
      </c>
      <c r="N172" s="14" t="s">
        <v>238</v>
      </c>
      <c r="O172" s="14" t="s">
        <v>348</v>
      </c>
      <c r="P172" s="14"/>
      <c r="Q172" s="14" t="s">
        <v>315</v>
      </c>
      <c r="R172" s="14" t="s">
        <v>743</v>
      </c>
    </row>
    <row r="173" spans="1:18" ht="15" customHeight="1">
      <c r="A173" s="42" t="s">
        <v>762</v>
      </c>
      <c r="B173" s="42" t="s">
        <v>299</v>
      </c>
      <c r="C173" s="14" t="s">
        <v>29</v>
      </c>
      <c r="D173" s="14" t="s">
        <v>740</v>
      </c>
      <c r="E173" s="14" t="s">
        <v>757</v>
      </c>
      <c r="F173" s="42" t="s">
        <v>763</v>
      </c>
      <c r="G173" s="14"/>
      <c r="H173" s="42" t="s">
        <v>13</v>
      </c>
      <c r="I173" s="14" t="s">
        <v>13</v>
      </c>
      <c r="J173" s="42" t="s">
        <v>47</v>
      </c>
      <c r="K173" s="59">
        <v>0.5</v>
      </c>
      <c r="L173" s="15"/>
      <c r="M173" s="14" t="s">
        <v>652</v>
      </c>
      <c r="N173" s="14" t="s">
        <v>238</v>
      </c>
      <c r="O173" s="14" t="s">
        <v>348</v>
      </c>
      <c r="P173" s="14"/>
      <c r="Q173" s="14" t="s">
        <v>315</v>
      </c>
      <c r="R173" s="14" t="s">
        <v>743</v>
      </c>
    </row>
    <row r="174" spans="1:18" ht="103.5" customHeight="1">
      <c r="A174" s="53" t="s">
        <v>764</v>
      </c>
      <c r="B174" s="54" t="s">
        <v>293</v>
      </c>
      <c r="C174" s="14" t="s">
        <v>29</v>
      </c>
      <c r="D174" s="14" t="s">
        <v>740</v>
      </c>
      <c r="E174" s="14" t="s">
        <v>740</v>
      </c>
      <c r="F174" s="53" t="s">
        <v>765</v>
      </c>
      <c r="G174" s="14" t="s">
        <v>766</v>
      </c>
      <c r="H174" s="54" t="s">
        <v>333</v>
      </c>
      <c r="I174" s="14" t="s">
        <v>11</v>
      </c>
      <c r="J174" s="14" t="s">
        <v>12</v>
      </c>
      <c r="K174" s="30">
        <f>SUMIFS($K:$K,$E:$E,A174,$B:$B,"Sous-tâche")</f>
        <v>1</v>
      </c>
      <c r="L174" s="55">
        <v>2</v>
      </c>
      <c r="M174" s="14" t="s">
        <v>652</v>
      </c>
      <c r="N174" s="14" t="s">
        <v>254</v>
      </c>
      <c r="O174" s="56" t="s">
        <v>297</v>
      </c>
      <c r="P174" s="14" t="s">
        <v>561</v>
      </c>
      <c r="Q174" s="57" t="str">
        <f>IF(COUNTIFS($E:$E,A174,$B:$B,"Sous-tâche")=0,"To Do",IF(COUNTIFS($E:$E,A174,$B:$B,"Sous-tâche",$Q:$Q,"Done")=COUNTIFS($E:$E,A174,$B:$B,"Sous-tâche"),"Done",IF(COUNTIFS($E:$E,A174,$B:$B,"Sous-tâche",$Q:$Q,"To Do")=COUNTIFS($E:$E,A174,$B:$B,"Sous-tâche"),"To Do","In Progress")))</f>
        <v>To Do</v>
      </c>
      <c r="R174" s="14" t="s">
        <v>743</v>
      </c>
    </row>
    <row r="175" spans="1:18" ht="15" customHeight="1">
      <c r="A175" s="63" t="s">
        <v>767</v>
      </c>
      <c r="B175" s="63" t="s">
        <v>299</v>
      </c>
      <c r="C175" s="14" t="s">
        <v>29</v>
      </c>
      <c r="D175" s="14" t="s">
        <v>740</v>
      </c>
      <c r="E175" s="14" t="s">
        <v>764</v>
      </c>
      <c r="F175" s="63" t="s">
        <v>768</v>
      </c>
      <c r="G175" s="14"/>
      <c r="H175" s="63" t="s">
        <v>333</v>
      </c>
      <c r="I175" s="14" t="s">
        <v>11</v>
      </c>
      <c r="J175" s="58" t="s">
        <v>12</v>
      </c>
      <c r="K175" s="59">
        <v>1</v>
      </c>
      <c r="L175" s="15"/>
      <c r="M175" s="14" t="s">
        <v>652</v>
      </c>
      <c r="N175" s="14" t="s">
        <v>254</v>
      </c>
      <c r="O175" s="56" t="s">
        <v>297</v>
      </c>
      <c r="P175" s="14"/>
      <c r="Q175" s="14" t="s">
        <v>315</v>
      </c>
      <c r="R175" s="14" t="s">
        <v>743</v>
      </c>
    </row>
    <row r="176" spans="1:18" ht="30" customHeight="1">
      <c r="A176" s="22" t="s">
        <v>769</v>
      </c>
      <c r="B176" s="22" t="s">
        <v>286</v>
      </c>
      <c r="C176" s="22" t="s">
        <v>29</v>
      </c>
      <c r="D176" s="22" t="s">
        <v>769</v>
      </c>
      <c r="E176" s="22"/>
      <c r="F176" s="22" t="s">
        <v>770</v>
      </c>
      <c r="G176" s="22" t="s">
        <v>771</v>
      </c>
      <c r="H176" s="22"/>
      <c r="I176" s="22"/>
      <c r="J176" s="22"/>
      <c r="K176" s="64">
        <f>SUMIFS($K:$K,$D:$D,A176,$B:$B,"Sous-tâche")</f>
        <v>11</v>
      </c>
      <c r="L176" s="65">
        <f>SUMIFS($L:$L,$D:$D,A176,$B:$B,"Story")</f>
        <v>21</v>
      </c>
      <c r="M176" s="22" t="s">
        <v>652</v>
      </c>
      <c r="N176" s="22"/>
      <c r="O176" s="22"/>
      <c r="P176" s="22" t="s">
        <v>772</v>
      </c>
      <c r="Q176" s="66" t="str">
        <f>IF(COUNTIFS($D:$D,A176,$B:$B,"Sous-tâche")=0,"To Do",IF(COUNTIFS($D:$D,A176,$B:$B,"Sous-tâche",$Q:$Q,"Done")=COUNTIFS($D:$D,A176,$B:$B,"Sous-tâche"),"Done",IF(COUNTIFS($D:$D,A176,$B:$B,"Sous-tâche",$Q:$Q,"To Do")=COUNTIFS($D:$D,A176,$B:$B,"Sous-tâche"),"To Do","In Progress")))</f>
        <v>To Do</v>
      </c>
      <c r="R176" s="22" t="s">
        <v>773</v>
      </c>
    </row>
    <row r="177" spans="1:18" ht="90.75" customHeight="1">
      <c r="A177" s="53" t="s">
        <v>774</v>
      </c>
      <c r="B177" s="54" t="s">
        <v>293</v>
      </c>
      <c r="C177" s="14" t="s">
        <v>29</v>
      </c>
      <c r="D177" s="14" t="s">
        <v>769</v>
      </c>
      <c r="E177" s="14" t="s">
        <v>769</v>
      </c>
      <c r="F177" s="53" t="s">
        <v>775</v>
      </c>
      <c r="G177" s="14" t="s">
        <v>776</v>
      </c>
      <c r="H177" s="54" t="s">
        <v>346</v>
      </c>
      <c r="I177" s="14" t="s">
        <v>347</v>
      </c>
      <c r="J177" s="14" t="s">
        <v>47</v>
      </c>
      <c r="K177" s="30">
        <f>SUMIFS($K:$K,$E:$E,A177,$B:$B,"Sous-tâche")</f>
        <v>3</v>
      </c>
      <c r="L177" s="55">
        <v>5</v>
      </c>
      <c r="M177" s="14" t="s">
        <v>652</v>
      </c>
      <c r="N177" s="14" t="s">
        <v>238</v>
      </c>
      <c r="O177" s="14" t="s">
        <v>348</v>
      </c>
      <c r="P177" s="14" t="s">
        <v>772</v>
      </c>
      <c r="Q177" s="57" t="str">
        <f>IF(COUNTIFS($E:$E,A177,$B:$B,"Sous-tâche")=0,"To Do",IF(COUNTIFS($E:$E,A177,$B:$B,"Sous-tâche",$Q:$Q,"Done")=COUNTIFS($E:$E,A177,$B:$B,"Sous-tâche"),"Done",IF(COUNTIFS($E:$E,A177,$B:$B,"Sous-tâche",$Q:$Q,"To Do")=COUNTIFS($E:$E,A177,$B:$B,"Sous-tâche"),"To Do","In Progress")))</f>
        <v>To Do</v>
      </c>
      <c r="R177" s="14" t="s">
        <v>773</v>
      </c>
    </row>
    <row r="178" spans="1:18" ht="15" customHeight="1">
      <c r="A178" s="42" t="s">
        <v>777</v>
      </c>
      <c r="B178" s="42" t="s">
        <v>299</v>
      </c>
      <c r="C178" s="14" t="s">
        <v>29</v>
      </c>
      <c r="D178" s="14" t="s">
        <v>769</v>
      </c>
      <c r="E178" s="14" t="s">
        <v>774</v>
      </c>
      <c r="F178" s="42" t="s">
        <v>778</v>
      </c>
      <c r="G178" s="14"/>
      <c r="H178" s="42" t="s">
        <v>13</v>
      </c>
      <c r="I178" s="14" t="s">
        <v>13</v>
      </c>
      <c r="J178" s="42" t="s">
        <v>47</v>
      </c>
      <c r="K178" s="59">
        <v>0.5</v>
      </c>
      <c r="L178" s="15"/>
      <c r="M178" s="14" t="s">
        <v>652</v>
      </c>
      <c r="N178" s="14" t="s">
        <v>238</v>
      </c>
      <c r="O178" s="14" t="s">
        <v>348</v>
      </c>
      <c r="P178" s="14"/>
      <c r="Q178" s="14" t="s">
        <v>315</v>
      </c>
      <c r="R178" s="14" t="s">
        <v>773</v>
      </c>
    </row>
    <row r="179" spans="1:18" ht="15" customHeight="1">
      <c r="A179" s="42" t="s">
        <v>779</v>
      </c>
      <c r="B179" s="42" t="s">
        <v>299</v>
      </c>
      <c r="C179" s="14" t="s">
        <v>29</v>
      </c>
      <c r="D179" s="14" t="s">
        <v>769</v>
      </c>
      <c r="E179" s="14" t="s">
        <v>774</v>
      </c>
      <c r="F179" s="42" t="s">
        <v>780</v>
      </c>
      <c r="G179" s="14"/>
      <c r="H179" s="42" t="s">
        <v>13</v>
      </c>
      <c r="I179" s="14" t="s">
        <v>13</v>
      </c>
      <c r="J179" s="42" t="s">
        <v>47</v>
      </c>
      <c r="K179" s="59">
        <v>1.5</v>
      </c>
      <c r="L179" s="15"/>
      <c r="M179" s="14" t="s">
        <v>652</v>
      </c>
      <c r="N179" s="14" t="s">
        <v>238</v>
      </c>
      <c r="O179" s="14" t="s">
        <v>348</v>
      </c>
      <c r="P179" s="14"/>
      <c r="Q179" s="14" t="s">
        <v>315</v>
      </c>
      <c r="R179" s="14" t="s">
        <v>773</v>
      </c>
    </row>
    <row r="180" spans="1:18" ht="15" customHeight="1">
      <c r="A180" s="58" t="s">
        <v>781</v>
      </c>
      <c r="B180" s="58" t="s">
        <v>299</v>
      </c>
      <c r="C180" s="14" t="s">
        <v>29</v>
      </c>
      <c r="D180" s="14" t="s">
        <v>769</v>
      </c>
      <c r="E180" s="14" t="s">
        <v>774</v>
      </c>
      <c r="F180" s="58" t="s">
        <v>782</v>
      </c>
      <c r="G180" s="14"/>
      <c r="H180" s="58" t="s">
        <v>296</v>
      </c>
      <c r="I180" s="14" t="s">
        <v>11</v>
      </c>
      <c r="J180" s="58" t="s">
        <v>12</v>
      </c>
      <c r="K180" s="59">
        <v>1</v>
      </c>
      <c r="L180" s="15"/>
      <c r="M180" s="14" t="s">
        <v>652</v>
      </c>
      <c r="N180" s="14" t="s">
        <v>238</v>
      </c>
      <c r="O180" s="14" t="s">
        <v>348</v>
      </c>
      <c r="P180" s="14"/>
      <c r="Q180" s="14" t="s">
        <v>315</v>
      </c>
      <c r="R180" s="14" t="s">
        <v>773</v>
      </c>
    </row>
    <row r="181" spans="1:18" ht="103.5" customHeight="1">
      <c r="A181" s="53" t="s">
        <v>783</v>
      </c>
      <c r="B181" s="54" t="s">
        <v>293</v>
      </c>
      <c r="C181" s="14" t="s">
        <v>29</v>
      </c>
      <c r="D181" s="14" t="s">
        <v>769</v>
      </c>
      <c r="E181" s="14" t="s">
        <v>769</v>
      </c>
      <c r="F181" s="53" t="s">
        <v>784</v>
      </c>
      <c r="G181" s="14" t="s">
        <v>785</v>
      </c>
      <c r="H181" s="54" t="s">
        <v>346</v>
      </c>
      <c r="I181" s="14" t="s">
        <v>347</v>
      </c>
      <c r="J181" s="14" t="s">
        <v>47</v>
      </c>
      <c r="K181" s="30">
        <f>SUMIFS($K:$K,$E:$E,A181,$B:$B,"Sous-tâche")</f>
        <v>6</v>
      </c>
      <c r="L181" s="55">
        <v>13</v>
      </c>
      <c r="M181" s="14" t="s">
        <v>652</v>
      </c>
      <c r="N181" s="14" t="s">
        <v>238</v>
      </c>
      <c r="O181" s="56" t="s">
        <v>381</v>
      </c>
      <c r="P181" s="14" t="s">
        <v>772</v>
      </c>
      <c r="Q181" s="57" t="str">
        <f>IF(COUNTIFS($E:$E,A181,$B:$B,"Sous-tâche")=0,"To Do",IF(COUNTIFS($E:$E,A181,$B:$B,"Sous-tâche",$Q:$Q,"Done")=COUNTIFS($E:$E,A181,$B:$B,"Sous-tâche"),"Done",IF(COUNTIFS($E:$E,A181,$B:$B,"Sous-tâche",$Q:$Q,"To Do")=COUNTIFS($E:$E,A181,$B:$B,"Sous-tâche"),"To Do","In Progress")))</f>
        <v>To Do</v>
      </c>
      <c r="R181" s="14" t="s">
        <v>773</v>
      </c>
    </row>
    <row r="182" spans="1:18" ht="15" customHeight="1">
      <c r="A182" s="58" t="s">
        <v>786</v>
      </c>
      <c r="B182" s="58" t="s">
        <v>299</v>
      </c>
      <c r="C182" s="14" t="s">
        <v>29</v>
      </c>
      <c r="D182" s="14" t="s">
        <v>769</v>
      </c>
      <c r="E182" s="14" t="s">
        <v>783</v>
      </c>
      <c r="F182" s="58" t="s">
        <v>787</v>
      </c>
      <c r="G182" s="14"/>
      <c r="H182" s="58" t="s">
        <v>296</v>
      </c>
      <c r="I182" s="14" t="s">
        <v>11</v>
      </c>
      <c r="J182" s="58" t="s">
        <v>12</v>
      </c>
      <c r="K182" s="59">
        <v>1.5</v>
      </c>
      <c r="L182" s="15"/>
      <c r="M182" s="14" t="s">
        <v>652</v>
      </c>
      <c r="N182" s="14" t="s">
        <v>238</v>
      </c>
      <c r="O182" s="14" t="s">
        <v>348</v>
      </c>
      <c r="P182" s="14"/>
      <c r="Q182" s="14" t="s">
        <v>315</v>
      </c>
      <c r="R182" s="14" t="s">
        <v>773</v>
      </c>
    </row>
    <row r="183" spans="1:18" ht="15" customHeight="1">
      <c r="A183" s="42" t="s">
        <v>788</v>
      </c>
      <c r="B183" s="42" t="s">
        <v>299</v>
      </c>
      <c r="C183" s="14" t="s">
        <v>29</v>
      </c>
      <c r="D183" s="14" t="s">
        <v>769</v>
      </c>
      <c r="E183" s="14" t="s">
        <v>783</v>
      </c>
      <c r="F183" s="42" t="s">
        <v>789</v>
      </c>
      <c r="G183" s="14"/>
      <c r="H183" s="42" t="s">
        <v>13</v>
      </c>
      <c r="I183" s="14" t="s">
        <v>13</v>
      </c>
      <c r="J183" s="42" t="s">
        <v>47</v>
      </c>
      <c r="K183" s="59">
        <v>1.5</v>
      </c>
      <c r="L183" s="15"/>
      <c r="M183" s="14" t="s">
        <v>652</v>
      </c>
      <c r="N183" s="14" t="s">
        <v>238</v>
      </c>
      <c r="O183" s="14" t="s">
        <v>348</v>
      </c>
      <c r="P183" s="14"/>
      <c r="Q183" s="14" t="s">
        <v>315</v>
      </c>
      <c r="R183" s="14" t="s">
        <v>773</v>
      </c>
    </row>
    <row r="184" spans="1:18" ht="15" customHeight="1">
      <c r="A184" s="42" t="s">
        <v>790</v>
      </c>
      <c r="B184" s="42" t="s">
        <v>299</v>
      </c>
      <c r="C184" s="14" t="s">
        <v>29</v>
      </c>
      <c r="D184" s="14" t="s">
        <v>769</v>
      </c>
      <c r="E184" s="14" t="s">
        <v>783</v>
      </c>
      <c r="F184" s="42" t="s">
        <v>791</v>
      </c>
      <c r="G184" s="14"/>
      <c r="H184" s="42" t="s">
        <v>13</v>
      </c>
      <c r="I184" s="14" t="s">
        <v>13</v>
      </c>
      <c r="J184" s="42" t="s">
        <v>47</v>
      </c>
      <c r="K184" s="59">
        <v>0.5</v>
      </c>
      <c r="L184" s="15"/>
      <c r="M184" s="14" t="s">
        <v>652</v>
      </c>
      <c r="N184" s="14" t="s">
        <v>238</v>
      </c>
      <c r="O184" s="14" t="s">
        <v>348</v>
      </c>
      <c r="P184" s="14"/>
      <c r="Q184" s="14" t="s">
        <v>315</v>
      </c>
      <c r="R184" s="14" t="s">
        <v>773</v>
      </c>
    </row>
    <row r="185" spans="1:18" ht="15" customHeight="1">
      <c r="A185" s="42" t="s">
        <v>792</v>
      </c>
      <c r="B185" s="42" t="s">
        <v>299</v>
      </c>
      <c r="C185" s="14" t="s">
        <v>29</v>
      </c>
      <c r="D185" s="14" t="s">
        <v>769</v>
      </c>
      <c r="E185" s="14" t="s">
        <v>783</v>
      </c>
      <c r="F185" s="42" t="s">
        <v>793</v>
      </c>
      <c r="G185" s="14"/>
      <c r="H185" s="42" t="s">
        <v>13</v>
      </c>
      <c r="I185" s="14" t="s">
        <v>13</v>
      </c>
      <c r="J185" s="42" t="s">
        <v>47</v>
      </c>
      <c r="K185" s="59">
        <v>0.5</v>
      </c>
      <c r="L185" s="15"/>
      <c r="M185" s="14" t="s">
        <v>652</v>
      </c>
      <c r="N185" s="14" t="s">
        <v>238</v>
      </c>
      <c r="O185" s="14" t="s">
        <v>348</v>
      </c>
      <c r="P185" s="14"/>
      <c r="Q185" s="14" t="s">
        <v>315</v>
      </c>
      <c r="R185" s="14" t="s">
        <v>773</v>
      </c>
    </row>
    <row r="186" spans="1:18" ht="15" customHeight="1">
      <c r="A186" s="42" t="s">
        <v>794</v>
      </c>
      <c r="B186" s="42" t="s">
        <v>299</v>
      </c>
      <c r="C186" s="14" t="s">
        <v>29</v>
      </c>
      <c r="D186" s="14" t="s">
        <v>769</v>
      </c>
      <c r="E186" s="14" t="s">
        <v>783</v>
      </c>
      <c r="F186" s="42" t="s">
        <v>795</v>
      </c>
      <c r="G186" s="14"/>
      <c r="H186" s="42" t="s">
        <v>13</v>
      </c>
      <c r="I186" s="14" t="s">
        <v>13</v>
      </c>
      <c r="J186" s="42" t="s">
        <v>47</v>
      </c>
      <c r="K186" s="59">
        <v>1</v>
      </c>
      <c r="L186" s="15"/>
      <c r="M186" s="14" t="s">
        <v>652</v>
      </c>
      <c r="N186" s="14" t="s">
        <v>238</v>
      </c>
      <c r="O186" s="56" t="s">
        <v>297</v>
      </c>
      <c r="P186" s="14"/>
      <c r="Q186" s="14" t="s">
        <v>315</v>
      </c>
      <c r="R186" s="14" t="s">
        <v>773</v>
      </c>
    </row>
    <row r="187" spans="1:18" ht="15" customHeight="1">
      <c r="A187" s="58" t="s">
        <v>796</v>
      </c>
      <c r="B187" s="58" t="s">
        <v>299</v>
      </c>
      <c r="C187" s="14" t="s">
        <v>29</v>
      </c>
      <c r="D187" s="14" t="s">
        <v>769</v>
      </c>
      <c r="E187" s="14" t="s">
        <v>783</v>
      </c>
      <c r="F187" s="58" t="s">
        <v>797</v>
      </c>
      <c r="G187" s="14"/>
      <c r="H187" s="58" t="s">
        <v>296</v>
      </c>
      <c r="I187" s="14" t="s">
        <v>11</v>
      </c>
      <c r="J187" s="58" t="s">
        <v>12</v>
      </c>
      <c r="K187" s="59">
        <v>1</v>
      </c>
      <c r="L187" s="15"/>
      <c r="M187" s="14" t="s">
        <v>652</v>
      </c>
      <c r="N187" s="14" t="s">
        <v>238</v>
      </c>
      <c r="O187" s="56" t="s">
        <v>297</v>
      </c>
      <c r="P187" s="14"/>
      <c r="Q187" s="14" t="s">
        <v>315</v>
      </c>
      <c r="R187" s="14" t="s">
        <v>773</v>
      </c>
    </row>
    <row r="188" spans="1:18" ht="103.5" customHeight="1">
      <c r="A188" s="53" t="s">
        <v>798</v>
      </c>
      <c r="B188" s="54" t="s">
        <v>293</v>
      </c>
      <c r="C188" s="14" t="s">
        <v>29</v>
      </c>
      <c r="D188" s="14" t="s">
        <v>769</v>
      </c>
      <c r="E188" s="14" t="s">
        <v>769</v>
      </c>
      <c r="F188" s="53" t="s">
        <v>799</v>
      </c>
      <c r="G188" s="14" t="s">
        <v>800</v>
      </c>
      <c r="H188" s="54" t="s">
        <v>333</v>
      </c>
      <c r="I188" s="14" t="s">
        <v>11</v>
      </c>
      <c r="J188" s="14" t="s">
        <v>12</v>
      </c>
      <c r="K188" s="30">
        <f>SUMIFS($K:$K,$E:$E,A188,$B:$B,"Sous-tâche")</f>
        <v>2</v>
      </c>
      <c r="L188" s="55">
        <v>3</v>
      </c>
      <c r="M188" s="14" t="s">
        <v>652</v>
      </c>
      <c r="N188" s="14" t="s">
        <v>254</v>
      </c>
      <c r="O188" s="56" t="s">
        <v>297</v>
      </c>
      <c r="P188" s="14" t="s">
        <v>772</v>
      </c>
      <c r="Q188" s="57" t="str">
        <f>IF(COUNTIFS($E:$E,A188,$B:$B,"Sous-tâche")=0,"To Do",IF(COUNTIFS($E:$E,A188,$B:$B,"Sous-tâche",$Q:$Q,"Done")=COUNTIFS($E:$E,A188,$B:$B,"Sous-tâche"),"Done",IF(COUNTIFS($E:$E,A188,$B:$B,"Sous-tâche",$Q:$Q,"To Do")=COUNTIFS($E:$E,A188,$B:$B,"Sous-tâche"),"To Do","In Progress")))</f>
        <v>To Do</v>
      </c>
      <c r="R188" s="14" t="s">
        <v>773</v>
      </c>
    </row>
    <row r="189" spans="1:18" ht="15" customHeight="1">
      <c r="A189" s="63" t="s">
        <v>801</v>
      </c>
      <c r="B189" s="63" t="s">
        <v>299</v>
      </c>
      <c r="C189" s="14" t="s">
        <v>29</v>
      </c>
      <c r="D189" s="14" t="s">
        <v>769</v>
      </c>
      <c r="E189" s="14" t="s">
        <v>798</v>
      </c>
      <c r="F189" s="63" t="s">
        <v>802</v>
      </c>
      <c r="G189" s="14"/>
      <c r="H189" s="63" t="s">
        <v>333</v>
      </c>
      <c r="I189" s="14" t="s">
        <v>11</v>
      </c>
      <c r="J189" s="58" t="s">
        <v>12</v>
      </c>
      <c r="K189" s="59">
        <v>2</v>
      </c>
      <c r="L189" s="15"/>
      <c r="M189" s="14" t="s">
        <v>652</v>
      </c>
      <c r="N189" s="14" t="s">
        <v>254</v>
      </c>
      <c r="O189" s="56" t="s">
        <v>297</v>
      </c>
      <c r="P189" s="14"/>
      <c r="Q189" s="14" t="s">
        <v>315</v>
      </c>
      <c r="R189" s="14" t="s">
        <v>773</v>
      </c>
    </row>
    <row r="190" spans="1:18" ht="30" customHeight="1">
      <c r="A190" s="22" t="s">
        <v>803</v>
      </c>
      <c r="B190" s="22" t="s">
        <v>286</v>
      </c>
      <c r="C190" s="22" t="s">
        <v>29</v>
      </c>
      <c r="D190" s="22" t="s">
        <v>803</v>
      </c>
      <c r="E190" s="22"/>
      <c r="F190" s="22" t="s">
        <v>804</v>
      </c>
      <c r="G190" s="22" t="s">
        <v>805</v>
      </c>
      <c r="H190" s="22"/>
      <c r="I190" s="22"/>
      <c r="J190" s="22"/>
      <c r="K190" s="64">
        <f>SUMIFS($K:$K,$D:$D,A190,$B:$B,"Sous-tâche")</f>
        <v>15</v>
      </c>
      <c r="L190" s="65">
        <f>SUMIFS($L:$L,$D:$D,A190,$B:$B,"Story")</f>
        <v>29</v>
      </c>
      <c r="M190" s="22" t="s">
        <v>312</v>
      </c>
      <c r="N190" s="22"/>
      <c r="O190" s="22"/>
      <c r="P190" s="22" t="s">
        <v>806</v>
      </c>
      <c r="Q190" s="66" t="str">
        <f>IF(COUNTIFS($D:$D,A190,$B:$B,"Sous-tâche")=0,"To Do",IF(COUNTIFS($D:$D,A190,$B:$B,"Sous-tâche",$Q:$Q,"Done")=COUNTIFS($D:$D,A190,$B:$B,"Sous-tâche"),"Done",IF(COUNTIFS($D:$D,A190,$B:$B,"Sous-tâche",$Q:$Q,"To Do")=COUNTIFS($D:$D,A190,$B:$B,"Sous-tâche"),"To Do","In Progress")))</f>
        <v>To Do</v>
      </c>
      <c r="R190" s="22" t="s">
        <v>807</v>
      </c>
    </row>
    <row r="191" spans="1:18" ht="90.75" customHeight="1">
      <c r="A191" s="53" t="s">
        <v>808</v>
      </c>
      <c r="B191" s="54" t="s">
        <v>293</v>
      </c>
      <c r="C191" s="14" t="s">
        <v>29</v>
      </c>
      <c r="D191" s="14" t="s">
        <v>803</v>
      </c>
      <c r="E191" s="14" t="s">
        <v>803</v>
      </c>
      <c r="F191" s="53" t="s">
        <v>809</v>
      </c>
      <c r="G191" s="14" t="s">
        <v>810</v>
      </c>
      <c r="H191" s="54" t="s">
        <v>346</v>
      </c>
      <c r="I191" s="14" t="s">
        <v>347</v>
      </c>
      <c r="J191" s="14" t="s">
        <v>12</v>
      </c>
      <c r="K191" s="30">
        <f>SUMIFS($K:$K,$E:$E,A191,$B:$B,"Sous-tâche")</f>
        <v>4</v>
      </c>
      <c r="L191" s="55">
        <v>8</v>
      </c>
      <c r="M191" s="14" t="s">
        <v>312</v>
      </c>
      <c r="N191" s="14" t="s">
        <v>238</v>
      </c>
      <c r="O191" s="56" t="s">
        <v>297</v>
      </c>
      <c r="P191" s="14" t="s">
        <v>806</v>
      </c>
      <c r="Q191" s="57" t="str">
        <f>IF(COUNTIFS($E:$E,A191,$B:$B,"Sous-tâche")=0,"To Do",IF(COUNTIFS($E:$E,A191,$B:$B,"Sous-tâche",$Q:$Q,"Done")=COUNTIFS($E:$E,A191,$B:$B,"Sous-tâche"),"Done",IF(COUNTIFS($E:$E,A191,$B:$B,"Sous-tâche",$Q:$Q,"To Do")=COUNTIFS($E:$E,A191,$B:$B,"Sous-tâche"),"To Do","In Progress")))</f>
        <v>To Do</v>
      </c>
      <c r="R191" s="14" t="s">
        <v>807</v>
      </c>
    </row>
    <row r="192" spans="1:18" ht="15" customHeight="1">
      <c r="A192" s="42" t="s">
        <v>811</v>
      </c>
      <c r="B192" s="42" t="s">
        <v>299</v>
      </c>
      <c r="C192" s="14" t="s">
        <v>29</v>
      </c>
      <c r="D192" s="14" t="s">
        <v>803</v>
      </c>
      <c r="E192" s="14" t="s">
        <v>808</v>
      </c>
      <c r="F192" s="42" t="s">
        <v>812</v>
      </c>
      <c r="G192" s="14"/>
      <c r="H192" s="42" t="s">
        <v>13</v>
      </c>
      <c r="I192" s="14" t="s">
        <v>13</v>
      </c>
      <c r="J192" s="42" t="s">
        <v>47</v>
      </c>
      <c r="K192" s="59">
        <v>2</v>
      </c>
      <c r="L192" s="15"/>
      <c r="M192" s="14" t="s">
        <v>312</v>
      </c>
      <c r="N192" s="14" t="s">
        <v>238</v>
      </c>
      <c r="O192" s="56" t="s">
        <v>297</v>
      </c>
      <c r="P192" s="14"/>
      <c r="Q192" s="14" t="s">
        <v>315</v>
      </c>
      <c r="R192" s="14" t="s">
        <v>807</v>
      </c>
    </row>
    <row r="193" spans="1:18" ht="15" customHeight="1">
      <c r="A193" s="58" t="s">
        <v>813</v>
      </c>
      <c r="B193" s="58" t="s">
        <v>299</v>
      </c>
      <c r="C193" s="14" t="s">
        <v>29</v>
      </c>
      <c r="D193" s="14" t="s">
        <v>803</v>
      </c>
      <c r="E193" s="14" t="s">
        <v>808</v>
      </c>
      <c r="F193" s="58" t="s">
        <v>814</v>
      </c>
      <c r="G193" s="14"/>
      <c r="H193" s="58" t="s">
        <v>296</v>
      </c>
      <c r="I193" s="14" t="s">
        <v>11</v>
      </c>
      <c r="J193" s="58" t="s">
        <v>12</v>
      </c>
      <c r="K193" s="59">
        <v>2</v>
      </c>
      <c r="L193" s="15"/>
      <c r="M193" s="14" t="s">
        <v>312</v>
      </c>
      <c r="N193" s="14" t="s">
        <v>238</v>
      </c>
      <c r="O193" s="56" t="s">
        <v>297</v>
      </c>
      <c r="P193" s="14"/>
      <c r="Q193" s="14" t="s">
        <v>315</v>
      </c>
      <c r="R193" s="14" t="s">
        <v>807</v>
      </c>
    </row>
    <row r="194" spans="1:18" ht="90.75" customHeight="1">
      <c r="A194" s="53" t="s">
        <v>815</v>
      </c>
      <c r="B194" s="54" t="s">
        <v>293</v>
      </c>
      <c r="C194" s="14" t="s">
        <v>29</v>
      </c>
      <c r="D194" s="14" t="s">
        <v>803</v>
      </c>
      <c r="E194" s="14" t="s">
        <v>803</v>
      </c>
      <c r="F194" s="53" t="s">
        <v>816</v>
      </c>
      <c r="G194" s="14" t="s">
        <v>817</v>
      </c>
      <c r="H194" s="54" t="s">
        <v>346</v>
      </c>
      <c r="I194" s="14" t="s">
        <v>347</v>
      </c>
      <c r="J194" s="14" t="s">
        <v>12</v>
      </c>
      <c r="K194" s="30">
        <f>SUMIFS($K:$K,$E:$E,A194,$B:$B,"Sous-tâche")</f>
        <v>4</v>
      </c>
      <c r="L194" s="55">
        <v>8</v>
      </c>
      <c r="M194" s="14" t="s">
        <v>652</v>
      </c>
      <c r="N194" s="14" t="s">
        <v>238</v>
      </c>
      <c r="O194" s="56" t="s">
        <v>297</v>
      </c>
      <c r="P194" s="14" t="s">
        <v>806</v>
      </c>
      <c r="Q194" s="57" t="str">
        <f>IF(COUNTIFS($E:$E,A194,$B:$B,"Sous-tâche")=0,"To Do",IF(COUNTIFS($E:$E,A194,$B:$B,"Sous-tâche",$Q:$Q,"Done")=COUNTIFS($E:$E,A194,$B:$B,"Sous-tâche"),"Done",IF(COUNTIFS($E:$E,A194,$B:$B,"Sous-tâche",$Q:$Q,"To Do")=COUNTIFS($E:$E,A194,$B:$B,"Sous-tâche"),"To Do","In Progress")))</f>
        <v>To Do</v>
      </c>
      <c r="R194" s="14" t="s">
        <v>807</v>
      </c>
    </row>
    <row r="195" spans="1:18" ht="15" customHeight="1">
      <c r="A195" s="42" t="s">
        <v>818</v>
      </c>
      <c r="B195" s="42" t="s">
        <v>299</v>
      </c>
      <c r="C195" s="14" t="s">
        <v>29</v>
      </c>
      <c r="D195" s="14" t="s">
        <v>803</v>
      </c>
      <c r="E195" s="14" t="s">
        <v>815</v>
      </c>
      <c r="F195" s="42" t="s">
        <v>819</v>
      </c>
      <c r="G195" s="14"/>
      <c r="H195" s="42" t="s">
        <v>13</v>
      </c>
      <c r="I195" s="14" t="s">
        <v>13</v>
      </c>
      <c r="J195" s="42" t="s">
        <v>47</v>
      </c>
      <c r="K195" s="59">
        <v>2</v>
      </c>
      <c r="L195" s="15"/>
      <c r="M195" s="14" t="s">
        <v>652</v>
      </c>
      <c r="N195" s="14" t="s">
        <v>238</v>
      </c>
      <c r="O195" s="56" t="s">
        <v>297</v>
      </c>
      <c r="P195" s="14"/>
      <c r="Q195" s="14" t="s">
        <v>315</v>
      </c>
      <c r="R195" s="14" t="s">
        <v>807</v>
      </c>
    </row>
    <row r="196" spans="1:18" ht="15" customHeight="1">
      <c r="A196" s="58" t="s">
        <v>820</v>
      </c>
      <c r="B196" s="58" t="s">
        <v>299</v>
      </c>
      <c r="C196" s="14" t="s">
        <v>29</v>
      </c>
      <c r="D196" s="14" t="s">
        <v>803</v>
      </c>
      <c r="E196" s="14" t="s">
        <v>815</v>
      </c>
      <c r="F196" s="58" t="s">
        <v>821</v>
      </c>
      <c r="G196" s="14"/>
      <c r="H196" s="58" t="s">
        <v>296</v>
      </c>
      <c r="I196" s="14" t="s">
        <v>11</v>
      </c>
      <c r="J196" s="58" t="s">
        <v>12</v>
      </c>
      <c r="K196" s="59">
        <v>2</v>
      </c>
      <c r="L196" s="15"/>
      <c r="M196" s="14" t="s">
        <v>652</v>
      </c>
      <c r="N196" s="14" t="s">
        <v>238</v>
      </c>
      <c r="O196" s="56" t="s">
        <v>297</v>
      </c>
      <c r="P196" s="14"/>
      <c r="Q196" s="14" t="s">
        <v>315</v>
      </c>
      <c r="R196" s="14" t="s">
        <v>807</v>
      </c>
    </row>
    <row r="197" spans="1:18" ht="103.5" customHeight="1">
      <c r="A197" s="53" t="s">
        <v>822</v>
      </c>
      <c r="B197" s="54" t="s">
        <v>293</v>
      </c>
      <c r="C197" s="14" t="s">
        <v>29</v>
      </c>
      <c r="D197" s="14" t="s">
        <v>803</v>
      </c>
      <c r="E197" s="14" t="s">
        <v>803</v>
      </c>
      <c r="F197" s="53" t="s">
        <v>823</v>
      </c>
      <c r="G197" s="14" t="s">
        <v>824</v>
      </c>
      <c r="H197" s="54" t="s">
        <v>346</v>
      </c>
      <c r="I197" s="14" t="s">
        <v>347</v>
      </c>
      <c r="J197" s="14" t="s">
        <v>47</v>
      </c>
      <c r="K197" s="30">
        <f>SUMIFS($K:$K,$E:$E,A197,$B:$B,"Sous-tâche")</f>
        <v>4</v>
      </c>
      <c r="L197" s="55">
        <v>8</v>
      </c>
      <c r="M197" s="14" t="s">
        <v>312</v>
      </c>
      <c r="N197" s="14" t="s">
        <v>238</v>
      </c>
      <c r="O197" s="56" t="s">
        <v>297</v>
      </c>
      <c r="P197" s="14" t="s">
        <v>806</v>
      </c>
      <c r="Q197" s="57" t="str">
        <f>IF(COUNTIFS($E:$E,A197,$B:$B,"Sous-tâche")=0,"To Do",IF(COUNTIFS($E:$E,A197,$B:$B,"Sous-tâche",$Q:$Q,"Done")=COUNTIFS($E:$E,A197,$B:$B,"Sous-tâche"),"Done",IF(COUNTIFS($E:$E,A197,$B:$B,"Sous-tâche",$Q:$Q,"To Do")=COUNTIFS($E:$E,A197,$B:$B,"Sous-tâche"),"To Do","In Progress")))</f>
        <v>To Do</v>
      </c>
      <c r="R197" s="14" t="s">
        <v>807</v>
      </c>
    </row>
    <row r="198" spans="1:18" ht="15" customHeight="1">
      <c r="A198" s="42" t="s">
        <v>825</v>
      </c>
      <c r="B198" s="42" t="s">
        <v>299</v>
      </c>
      <c r="C198" s="14" t="s">
        <v>29</v>
      </c>
      <c r="D198" s="14" t="s">
        <v>803</v>
      </c>
      <c r="E198" s="14" t="s">
        <v>822</v>
      </c>
      <c r="F198" s="42" t="s">
        <v>826</v>
      </c>
      <c r="G198" s="14"/>
      <c r="H198" s="42" t="s">
        <v>13</v>
      </c>
      <c r="I198" s="14" t="s">
        <v>13</v>
      </c>
      <c r="J198" s="42" t="s">
        <v>47</v>
      </c>
      <c r="K198" s="59">
        <v>2.5</v>
      </c>
      <c r="L198" s="15"/>
      <c r="M198" s="14" t="s">
        <v>312</v>
      </c>
      <c r="N198" s="14" t="s">
        <v>238</v>
      </c>
      <c r="O198" s="56" t="s">
        <v>297</v>
      </c>
      <c r="P198" s="14"/>
      <c r="Q198" s="14" t="s">
        <v>315</v>
      </c>
      <c r="R198" s="14" t="s">
        <v>807</v>
      </c>
    </row>
    <row r="199" spans="1:18" ht="15" customHeight="1">
      <c r="A199" s="58" t="s">
        <v>827</v>
      </c>
      <c r="B199" s="58" t="s">
        <v>299</v>
      </c>
      <c r="C199" s="14" t="s">
        <v>29</v>
      </c>
      <c r="D199" s="14" t="s">
        <v>803</v>
      </c>
      <c r="E199" s="14" t="s">
        <v>822</v>
      </c>
      <c r="F199" s="58" t="s">
        <v>828</v>
      </c>
      <c r="G199" s="14"/>
      <c r="H199" s="58" t="s">
        <v>296</v>
      </c>
      <c r="I199" s="14" t="s">
        <v>11</v>
      </c>
      <c r="J199" s="58" t="s">
        <v>12</v>
      </c>
      <c r="K199" s="59">
        <v>1.5</v>
      </c>
      <c r="L199" s="15"/>
      <c r="M199" s="14" t="s">
        <v>312</v>
      </c>
      <c r="N199" s="14" t="s">
        <v>238</v>
      </c>
      <c r="O199" s="56" t="s">
        <v>297</v>
      </c>
      <c r="P199" s="14"/>
      <c r="Q199" s="14" t="s">
        <v>315</v>
      </c>
      <c r="R199" s="14" t="s">
        <v>807</v>
      </c>
    </row>
    <row r="200" spans="1:18" ht="103.5" customHeight="1">
      <c r="A200" s="53" t="s">
        <v>829</v>
      </c>
      <c r="B200" s="54" t="s">
        <v>293</v>
      </c>
      <c r="C200" s="14" t="s">
        <v>29</v>
      </c>
      <c r="D200" s="14" t="s">
        <v>803</v>
      </c>
      <c r="E200" s="14" t="s">
        <v>803</v>
      </c>
      <c r="F200" s="53" t="s">
        <v>830</v>
      </c>
      <c r="G200" s="14" t="s">
        <v>831</v>
      </c>
      <c r="H200" s="54" t="s">
        <v>333</v>
      </c>
      <c r="I200" s="14" t="s">
        <v>11</v>
      </c>
      <c r="J200" s="14" t="s">
        <v>12</v>
      </c>
      <c r="K200" s="30">
        <f>SUMIFS($K:$K,$E:$E,A200,$B:$B,"Sous-tâche")</f>
        <v>3</v>
      </c>
      <c r="L200" s="55">
        <v>5</v>
      </c>
      <c r="M200" s="14" t="s">
        <v>312</v>
      </c>
      <c r="N200" s="14" t="s">
        <v>254</v>
      </c>
      <c r="O200" s="56" t="s">
        <v>297</v>
      </c>
      <c r="P200" s="14" t="s">
        <v>806</v>
      </c>
      <c r="Q200" s="57" t="str">
        <f>IF(COUNTIFS($E:$E,A200,$B:$B,"Sous-tâche")=0,"To Do",IF(COUNTIFS($E:$E,A200,$B:$B,"Sous-tâche",$Q:$Q,"Done")=COUNTIFS($E:$E,A200,$B:$B,"Sous-tâche"),"Done",IF(COUNTIFS($E:$E,A200,$B:$B,"Sous-tâche",$Q:$Q,"To Do")=COUNTIFS($E:$E,A200,$B:$B,"Sous-tâche"),"To Do","In Progress")))</f>
        <v>To Do</v>
      </c>
      <c r="R200" s="14" t="s">
        <v>807</v>
      </c>
    </row>
    <row r="201" spans="1:18" ht="15" customHeight="1">
      <c r="A201" s="63" t="s">
        <v>832</v>
      </c>
      <c r="B201" s="63" t="s">
        <v>299</v>
      </c>
      <c r="C201" s="14" t="s">
        <v>29</v>
      </c>
      <c r="D201" s="14" t="s">
        <v>803</v>
      </c>
      <c r="E201" s="14" t="s">
        <v>829</v>
      </c>
      <c r="F201" s="63" t="s">
        <v>833</v>
      </c>
      <c r="G201" s="14"/>
      <c r="H201" s="63" t="s">
        <v>333</v>
      </c>
      <c r="I201" s="14" t="s">
        <v>11</v>
      </c>
      <c r="J201" s="58" t="s">
        <v>12</v>
      </c>
      <c r="K201" s="59">
        <v>3</v>
      </c>
      <c r="L201" s="15"/>
      <c r="M201" s="14" t="s">
        <v>312</v>
      </c>
      <c r="N201" s="14" t="s">
        <v>254</v>
      </c>
      <c r="O201" s="56" t="s">
        <v>297</v>
      </c>
      <c r="P201" s="14"/>
      <c r="Q201" s="14" t="s">
        <v>315</v>
      </c>
      <c r="R201" s="14" t="s">
        <v>807</v>
      </c>
    </row>
    <row r="202" spans="1:18" ht="30" customHeight="1">
      <c r="A202" s="23" t="s">
        <v>834</v>
      </c>
      <c r="B202" s="23" t="s">
        <v>286</v>
      </c>
      <c r="C202" s="23" t="s">
        <v>30</v>
      </c>
      <c r="D202" s="23" t="s">
        <v>834</v>
      </c>
      <c r="E202" s="23"/>
      <c r="F202" s="23" t="s">
        <v>835</v>
      </c>
      <c r="G202" s="23" t="s">
        <v>836</v>
      </c>
      <c r="H202" s="23"/>
      <c r="I202" s="23"/>
      <c r="J202" s="23"/>
      <c r="K202" s="67">
        <f>SUMIFS($K:$K,$D:$D,A202,$B:$B,"Sous-tâche")</f>
        <v>15</v>
      </c>
      <c r="L202" s="68">
        <f>SUMIFS($L:$L,$D:$D,A202,$B:$B,"Story")</f>
        <v>31</v>
      </c>
      <c r="M202" s="23" t="s">
        <v>312</v>
      </c>
      <c r="N202" s="23"/>
      <c r="O202" s="23"/>
      <c r="P202" s="23" t="s">
        <v>837</v>
      </c>
      <c r="Q202" s="69" t="str">
        <f>IF(COUNTIFS($D:$D,A202,$B:$B,"Sous-tâche")=0,"To Do",IF(COUNTIFS($D:$D,A202,$B:$B,"Sous-tâche",$Q:$Q,"Done")=COUNTIFS($D:$D,A202,$B:$B,"Sous-tâche"),"Done",IF(COUNTIFS($D:$D,A202,$B:$B,"Sous-tâche",$Q:$Q,"To Do")=COUNTIFS($D:$D,A202,$B:$B,"Sous-tâche"),"To Do","In Progress")))</f>
        <v>To Do</v>
      </c>
      <c r="R202" s="23" t="s">
        <v>838</v>
      </c>
    </row>
    <row r="203" spans="1:18" ht="90.75" customHeight="1">
      <c r="A203" s="53" t="s">
        <v>839</v>
      </c>
      <c r="B203" s="54" t="s">
        <v>293</v>
      </c>
      <c r="C203" s="14" t="s">
        <v>30</v>
      </c>
      <c r="D203" s="14" t="s">
        <v>834</v>
      </c>
      <c r="E203" s="14" t="s">
        <v>834</v>
      </c>
      <c r="F203" s="53" t="s">
        <v>840</v>
      </c>
      <c r="G203" s="14" t="s">
        <v>841</v>
      </c>
      <c r="H203" s="54" t="s">
        <v>842</v>
      </c>
      <c r="I203" s="14" t="s">
        <v>842</v>
      </c>
      <c r="J203" s="14" t="s">
        <v>16</v>
      </c>
      <c r="K203" s="30">
        <f>SUMIFS($K:$K,$E:$E,A203,$B:$B,"Sous-tâche")</f>
        <v>4</v>
      </c>
      <c r="L203" s="55">
        <v>8</v>
      </c>
      <c r="M203" s="14" t="s">
        <v>312</v>
      </c>
      <c r="N203" s="14" t="s">
        <v>231</v>
      </c>
      <c r="O203" s="14" t="s">
        <v>348</v>
      </c>
      <c r="P203" s="14" t="s">
        <v>837</v>
      </c>
      <c r="Q203" s="57" t="str">
        <f>IF(COUNTIFS($E:$E,A203,$B:$B,"Sous-tâche")=0,"To Do",IF(COUNTIFS($E:$E,A203,$B:$B,"Sous-tâche",$Q:$Q,"Done")=COUNTIFS($E:$E,A203,$B:$B,"Sous-tâche"),"Done",IF(COUNTIFS($E:$E,A203,$B:$B,"Sous-tâche",$Q:$Q,"To Do")=COUNTIFS($E:$E,A203,$B:$B,"Sous-tâche"),"To Do","In Progress")))</f>
        <v>To Do</v>
      </c>
      <c r="R203" s="14" t="s">
        <v>838</v>
      </c>
    </row>
    <row r="204" spans="1:18" ht="15" customHeight="1">
      <c r="A204" s="42" t="s">
        <v>843</v>
      </c>
      <c r="B204" s="42" t="s">
        <v>299</v>
      </c>
      <c r="C204" s="14" t="s">
        <v>30</v>
      </c>
      <c r="D204" s="14" t="s">
        <v>834</v>
      </c>
      <c r="E204" s="14" t="s">
        <v>839</v>
      </c>
      <c r="F204" s="42" t="s">
        <v>844</v>
      </c>
      <c r="G204" s="14"/>
      <c r="H204" s="42" t="s">
        <v>13</v>
      </c>
      <c r="I204" s="14" t="s">
        <v>13</v>
      </c>
      <c r="J204" s="42" t="s">
        <v>47</v>
      </c>
      <c r="K204" s="59">
        <v>1.5</v>
      </c>
      <c r="L204" s="15"/>
      <c r="M204" s="14" t="s">
        <v>312</v>
      </c>
      <c r="N204" s="14" t="s">
        <v>231</v>
      </c>
      <c r="O204" s="14" t="s">
        <v>348</v>
      </c>
      <c r="P204" s="14"/>
      <c r="Q204" s="14" t="s">
        <v>315</v>
      </c>
      <c r="R204" s="14" t="s">
        <v>838</v>
      </c>
    </row>
    <row r="205" spans="1:18" ht="15" customHeight="1">
      <c r="A205" s="70" t="s">
        <v>845</v>
      </c>
      <c r="B205" s="70" t="s">
        <v>299</v>
      </c>
      <c r="C205" s="14" t="s">
        <v>30</v>
      </c>
      <c r="D205" s="14" t="s">
        <v>834</v>
      </c>
      <c r="E205" s="14" t="s">
        <v>839</v>
      </c>
      <c r="F205" s="70" t="s">
        <v>846</v>
      </c>
      <c r="G205" s="14"/>
      <c r="H205" s="70" t="s">
        <v>15</v>
      </c>
      <c r="I205" s="14" t="s">
        <v>15</v>
      </c>
      <c r="J205" s="70" t="s">
        <v>16</v>
      </c>
      <c r="K205" s="59">
        <v>2.5</v>
      </c>
      <c r="L205" s="15"/>
      <c r="M205" s="14" t="s">
        <v>312</v>
      </c>
      <c r="N205" s="14" t="s">
        <v>231</v>
      </c>
      <c r="O205" s="14" t="s">
        <v>348</v>
      </c>
      <c r="P205" s="14"/>
      <c r="Q205" s="14" t="s">
        <v>315</v>
      </c>
      <c r="R205" s="14" t="s">
        <v>838</v>
      </c>
    </row>
    <row r="206" spans="1:18" ht="117" customHeight="1">
      <c r="A206" s="53" t="s">
        <v>847</v>
      </c>
      <c r="B206" s="54" t="s">
        <v>293</v>
      </c>
      <c r="C206" s="14" t="s">
        <v>30</v>
      </c>
      <c r="D206" s="14" t="s">
        <v>834</v>
      </c>
      <c r="E206" s="14" t="s">
        <v>834</v>
      </c>
      <c r="F206" s="53" t="s">
        <v>848</v>
      </c>
      <c r="G206" s="14" t="s">
        <v>849</v>
      </c>
      <c r="H206" s="54" t="s">
        <v>842</v>
      </c>
      <c r="I206" s="14" t="s">
        <v>842</v>
      </c>
      <c r="J206" s="14" t="s">
        <v>16</v>
      </c>
      <c r="K206" s="30">
        <f>SUMIFS($K:$K,$E:$E,A206,$B:$B,"Sous-tâche")</f>
        <v>6</v>
      </c>
      <c r="L206" s="55">
        <v>13</v>
      </c>
      <c r="M206" s="14" t="s">
        <v>312</v>
      </c>
      <c r="N206" s="14" t="s">
        <v>242</v>
      </c>
      <c r="O206" s="14" t="s">
        <v>348</v>
      </c>
      <c r="P206" s="14" t="s">
        <v>837</v>
      </c>
      <c r="Q206" s="57" t="str">
        <f>IF(COUNTIFS($E:$E,A206,$B:$B,"Sous-tâche")=0,"To Do",IF(COUNTIFS($E:$E,A206,$B:$B,"Sous-tâche",$Q:$Q,"Done")=COUNTIFS($E:$E,A206,$B:$B,"Sous-tâche"),"Done",IF(COUNTIFS($E:$E,A206,$B:$B,"Sous-tâche",$Q:$Q,"To Do")=COUNTIFS($E:$E,A206,$B:$B,"Sous-tâche"),"To Do","In Progress")))</f>
        <v>To Do</v>
      </c>
      <c r="R206" s="14" t="s">
        <v>838</v>
      </c>
    </row>
    <row r="207" spans="1:18" ht="15" customHeight="1">
      <c r="A207" s="70" t="s">
        <v>850</v>
      </c>
      <c r="B207" s="70" t="s">
        <v>299</v>
      </c>
      <c r="C207" s="14" t="s">
        <v>30</v>
      </c>
      <c r="D207" s="14" t="s">
        <v>834</v>
      </c>
      <c r="E207" s="14" t="s">
        <v>847</v>
      </c>
      <c r="F207" s="70" t="s">
        <v>851</v>
      </c>
      <c r="G207" s="14"/>
      <c r="H207" s="70" t="s">
        <v>15</v>
      </c>
      <c r="I207" s="14" t="s">
        <v>15</v>
      </c>
      <c r="J207" s="70" t="s">
        <v>16</v>
      </c>
      <c r="K207" s="59">
        <v>4</v>
      </c>
      <c r="L207" s="15"/>
      <c r="M207" s="14" t="s">
        <v>312</v>
      </c>
      <c r="N207" s="14" t="s">
        <v>242</v>
      </c>
      <c r="O207" s="14" t="s">
        <v>348</v>
      </c>
      <c r="P207" s="14"/>
      <c r="Q207" s="14" t="s">
        <v>315</v>
      </c>
      <c r="R207" s="14" t="s">
        <v>838</v>
      </c>
    </row>
    <row r="208" spans="1:18" ht="15" customHeight="1">
      <c r="A208" s="70" t="s">
        <v>852</v>
      </c>
      <c r="B208" s="70" t="s">
        <v>299</v>
      </c>
      <c r="C208" s="14" t="s">
        <v>30</v>
      </c>
      <c r="D208" s="14" t="s">
        <v>834</v>
      </c>
      <c r="E208" s="14" t="s">
        <v>847</v>
      </c>
      <c r="F208" s="70" t="s">
        <v>853</v>
      </c>
      <c r="G208" s="14"/>
      <c r="H208" s="70" t="s">
        <v>15</v>
      </c>
      <c r="I208" s="14" t="s">
        <v>15</v>
      </c>
      <c r="J208" s="70" t="s">
        <v>16</v>
      </c>
      <c r="K208" s="59">
        <v>1</v>
      </c>
      <c r="L208" s="15"/>
      <c r="M208" s="14" t="s">
        <v>312</v>
      </c>
      <c r="N208" s="14" t="s">
        <v>242</v>
      </c>
      <c r="O208" s="14" t="s">
        <v>348</v>
      </c>
      <c r="P208" s="14"/>
      <c r="Q208" s="14" t="s">
        <v>315</v>
      </c>
      <c r="R208" s="14" t="s">
        <v>838</v>
      </c>
    </row>
    <row r="209" spans="1:18" ht="15" customHeight="1">
      <c r="A209" s="42" t="s">
        <v>854</v>
      </c>
      <c r="B209" s="42" t="s">
        <v>299</v>
      </c>
      <c r="C209" s="14" t="s">
        <v>30</v>
      </c>
      <c r="D209" s="14" t="s">
        <v>834</v>
      </c>
      <c r="E209" s="14" t="s">
        <v>847</v>
      </c>
      <c r="F209" s="42" t="s">
        <v>855</v>
      </c>
      <c r="G209" s="14"/>
      <c r="H209" s="42" t="s">
        <v>13</v>
      </c>
      <c r="I209" s="14" t="s">
        <v>13</v>
      </c>
      <c r="J209" s="42" t="s">
        <v>47</v>
      </c>
      <c r="K209" s="59">
        <v>1</v>
      </c>
      <c r="L209" s="15"/>
      <c r="M209" s="14" t="s">
        <v>312</v>
      </c>
      <c r="N209" s="14" t="s">
        <v>242</v>
      </c>
      <c r="O209" s="14" t="s">
        <v>348</v>
      </c>
      <c r="P209" s="14"/>
      <c r="Q209" s="14" t="s">
        <v>315</v>
      </c>
      <c r="R209" s="14" t="s">
        <v>838</v>
      </c>
    </row>
    <row r="210" spans="1:18" ht="103.5" customHeight="1">
      <c r="A210" s="53" t="s">
        <v>856</v>
      </c>
      <c r="B210" s="54" t="s">
        <v>293</v>
      </c>
      <c r="C210" s="14" t="s">
        <v>30</v>
      </c>
      <c r="D210" s="14" t="s">
        <v>834</v>
      </c>
      <c r="E210" s="14" t="s">
        <v>834</v>
      </c>
      <c r="F210" s="53" t="s">
        <v>857</v>
      </c>
      <c r="G210" s="14" t="s">
        <v>858</v>
      </c>
      <c r="H210" s="54" t="s">
        <v>859</v>
      </c>
      <c r="I210" s="14" t="s">
        <v>860</v>
      </c>
      <c r="J210" s="14" t="s">
        <v>12</v>
      </c>
      <c r="K210" s="30">
        <f>SUMIFS($K:$K,$E:$E,A210,$B:$B,"Sous-tâche")</f>
        <v>4</v>
      </c>
      <c r="L210" s="55">
        <v>8</v>
      </c>
      <c r="M210" s="14" t="s">
        <v>652</v>
      </c>
      <c r="N210" s="14" t="s">
        <v>242</v>
      </c>
      <c r="O210" s="14" t="s">
        <v>348</v>
      </c>
      <c r="P210" s="14" t="s">
        <v>837</v>
      </c>
      <c r="Q210" s="57" t="str">
        <f>IF(COUNTIFS($E:$E,A210,$B:$B,"Sous-tâche")=0,"To Do",IF(COUNTIFS($E:$E,A210,$B:$B,"Sous-tâche",$Q:$Q,"Done")=COUNTIFS($E:$E,A210,$B:$B,"Sous-tâche"),"Done",IF(COUNTIFS($E:$E,A210,$B:$B,"Sous-tâche",$Q:$Q,"To Do")=COUNTIFS($E:$E,A210,$B:$B,"Sous-tâche"),"To Do","In Progress")))</f>
        <v>To Do</v>
      </c>
      <c r="R210" s="14" t="s">
        <v>838</v>
      </c>
    </row>
    <row r="211" spans="1:18" ht="15" customHeight="1">
      <c r="A211" s="58" t="s">
        <v>861</v>
      </c>
      <c r="B211" s="58" t="s">
        <v>299</v>
      </c>
      <c r="C211" s="14" t="s">
        <v>30</v>
      </c>
      <c r="D211" s="14" t="s">
        <v>834</v>
      </c>
      <c r="E211" s="14" t="s">
        <v>856</v>
      </c>
      <c r="F211" s="58" t="s">
        <v>862</v>
      </c>
      <c r="G211" s="14"/>
      <c r="H211" s="58" t="s">
        <v>296</v>
      </c>
      <c r="I211" s="14" t="s">
        <v>11</v>
      </c>
      <c r="J211" s="58" t="s">
        <v>12</v>
      </c>
      <c r="K211" s="59">
        <v>1.5</v>
      </c>
      <c r="L211" s="15"/>
      <c r="M211" s="14" t="s">
        <v>652</v>
      </c>
      <c r="N211" s="14" t="s">
        <v>242</v>
      </c>
      <c r="O211" s="14" t="s">
        <v>348</v>
      </c>
      <c r="P211" s="14"/>
      <c r="Q211" s="14" t="s">
        <v>315</v>
      </c>
      <c r="R211" s="14" t="s">
        <v>838</v>
      </c>
    </row>
    <row r="212" spans="1:18" ht="15" customHeight="1">
      <c r="A212" s="42" t="s">
        <v>863</v>
      </c>
      <c r="B212" s="42" t="s">
        <v>299</v>
      </c>
      <c r="C212" s="14" t="s">
        <v>30</v>
      </c>
      <c r="D212" s="14" t="s">
        <v>834</v>
      </c>
      <c r="E212" s="14" t="s">
        <v>856</v>
      </c>
      <c r="F212" s="42" t="s">
        <v>864</v>
      </c>
      <c r="G212" s="14"/>
      <c r="H212" s="42" t="s">
        <v>13</v>
      </c>
      <c r="I212" s="14" t="s">
        <v>13</v>
      </c>
      <c r="J212" s="42" t="s">
        <v>47</v>
      </c>
      <c r="K212" s="59">
        <v>1</v>
      </c>
      <c r="L212" s="15"/>
      <c r="M212" s="14" t="s">
        <v>652</v>
      </c>
      <c r="N212" s="14" t="s">
        <v>242</v>
      </c>
      <c r="O212" s="14" t="s">
        <v>348</v>
      </c>
      <c r="P212" s="14"/>
      <c r="Q212" s="14" t="s">
        <v>315</v>
      </c>
      <c r="R212" s="14" t="s">
        <v>838</v>
      </c>
    </row>
    <row r="213" spans="1:18" ht="15" customHeight="1">
      <c r="A213" s="70" t="s">
        <v>865</v>
      </c>
      <c r="B213" s="70" t="s">
        <v>299</v>
      </c>
      <c r="C213" s="14" t="s">
        <v>30</v>
      </c>
      <c r="D213" s="14" t="s">
        <v>834</v>
      </c>
      <c r="E213" s="14" t="s">
        <v>856</v>
      </c>
      <c r="F213" s="70" t="s">
        <v>866</v>
      </c>
      <c r="G213" s="14"/>
      <c r="H213" s="70" t="s">
        <v>15</v>
      </c>
      <c r="I213" s="14" t="s">
        <v>15</v>
      </c>
      <c r="J213" s="70" t="s">
        <v>16</v>
      </c>
      <c r="K213" s="59">
        <v>1.5</v>
      </c>
      <c r="L213" s="15"/>
      <c r="M213" s="14" t="s">
        <v>652</v>
      </c>
      <c r="N213" s="14" t="s">
        <v>242</v>
      </c>
      <c r="O213" s="14" t="s">
        <v>348</v>
      </c>
      <c r="P213" s="14"/>
      <c r="Q213" s="14" t="s">
        <v>315</v>
      </c>
      <c r="R213" s="14" t="s">
        <v>838</v>
      </c>
    </row>
    <row r="214" spans="1:18" ht="103.5" customHeight="1">
      <c r="A214" s="53" t="s">
        <v>867</v>
      </c>
      <c r="B214" s="54" t="s">
        <v>293</v>
      </c>
      <c r="C214" s="14" t="s">
        <v>30</v>
      </c>
      <c r="D214" s="14" t="s">
        <v>834</v>
      </c>
      <c r="E214" s="14" t="s">
        <v>834</v>
      </c>
      <c r="F214" s="53" t="s">
        <v>868</v>
      </c>
      <c r="G214" s="14" t="s">
        <v>869</v>
      </c>
      <c r="H214" s="54" t="s">
        <v>333</v>
      </c>
      <c r="I214" s="14" t="s">
        <v>11</v>
      </c>
      <c r="J214" s="14" t="s">
        <v>12</v>
      </c>
      <c r="K214" s="30">
        <f>SUMIFS($K:$K,$E:$E,A214,$B:$B,"Sous-tâche")</f>
        <v>1</v>
      </c>
      <c r="L214" s="55">
        <v>2</v>
      </c>
      <c r="M214" s="14" t="s">
        <v>312</v>
      </c>
      <c r="N214" s="14" t="s">
        <v>254</v>
      </c>
      <c r="O214" s="56" t="s">
        <v>297</v>
      </c>
      <c r="P214" s="14" t="s">
        <v>837</v>
      </c>
      <c r="Q214" s="57" t="str">
        <f>IF(COUNTIFS($E:$E,A214,$B:$B,"Sous-tâche")=0,"To Do",IF(COUNTIFS($E:$E,A214,$B:$B,"Sous-tâche",$Q:$Q,"Done")=COUNTIFS($E:$E,A214,$B:$B,"Sous-tâche"),"Done",IF(COUNTIFS($E:$E,A214,$B:$B,"Sous-tâche",$Q:$Q,"To Do")=COUNTIFS($E:$E,A214,$B:$B,"Sous-tâche"),"To Do","In Progress")))</f>
        <v>To Do</v>
      </c>
      <c r="R214" s="14" t="s">
        <v>838</v>
      </c>
    </row>
    <row r="215" spans="1:18" ht="15" customHeight="1">
      <c r="A215" s="63" t="s">
        <v>870</v>
      </c>
      <c r="B215" s="63" t="s">
        <v>299</v>
      </c>
      <c r="C215" s="14" t="s">
        <v>30</v>
      </c>
      <c r="D215" s="14" t="s">
        <v>834</v>
      </c>
      <c r="E215" s="14" t="s">
        <v>867</v>
      </c>
      <c r="F215" s="63" t="s">
        <v>871</v>
      </c>
      <c r="G215" s="14"/>
      <c r="H215" s="63" t="s">
        <v>333</v>
      </c>
      <c r="I215" s="14" t="s">
        <v>11</v>
      </c>
      <c r="J215" s="58" t="s">
        <v>12</v>
      </c>
      <c r="K215" s="59">
        <v>1</v>
      </c>
      <c r="L215" s="15"/>
      <c r="M215" s="14" t="s">
        <v>312</v>
      </c>
      <c r="N215" s="14" t="s">
        <v>254</v>
      </c>
      <c r="O215" s="56" t="s">
        <v>297</v>
      </c>
      <c r="P215" s="14"/>
      <c r="Q215" s="14" t="s">
        <v>315</v>
      </c>
      <c r="R215" s="14" t="s">
        <v>838</v>
      </c>
    </row>
    <row r="216" spans="1:18" ht="30" customHeight="1">
      <c r="A216" s="23" t="s">
        <v>872</v>
      </c>
      <c r="B216" s="23" t="s">
        <v>286</v>
      </c>
      <c r="C216" s="23" t="s">
        <v>30</v>
      </c>
      <c r="D216" s="23" t="s">
        <v>872</v>
      </c>
      <c r="E216" s="23"/>
      <c r="F216" s="23" t="s">
        <v>873</v>
      </c>
      <c r="G216" s="23" t="s">
        <v>874</v>
      </c>
      <c r="H216" s="23"/>
      <c r="I216" s="23"/>
      <c r="J216" s="23"/>
      <c r="K216" s="67">
        <f>SUMIFS($K:$K,$D:$D,A216,$B:$B,"Sous-tâche")</f>
        <v>33.5</v>
      </c>
      <c r="L216" s="68">
        <f>SUMIFS($L:$L,$D:$D,A216,$B:$B,"Story")</f>
        <v>61</v>
      </c>
      <c r="M216" s="23" t="s">
        <v>312</v>
      </c>
      <c r="N216" s="23"/>
      <c r="O216" s="23"/>
      <c r="P216" s="23" t="s">
        <v>875</v>
      </c>
      <c r="Q216" s="69" t="str">
        <f>IF(COUNTIFS($D:$D,A216,$B:$B,"Sous-tâche")=0,"To Do",IF(COUNTIFS($D:$D,A216,$B:$B,"Sous-tâche",$Q:$Q,"Done")=COUNTIFS($D:$D,A216,$B:$B,"Sous-tâche"),"Done",IF(COUNTIFS($D:$D,A216,$B:$B,"Sous-tâche",$Q:$Q,"To Do")=COUNTIFS($D:$D,A216,$B:$B,"Sous-tâche"),"To Do","In Progress")))</f>
        <v>To Do</v>
      </c>
      <c r="R216" s="23" t="s">
        <v>876</v>
      </c>
    </row>
    <row r="217" spans="1:18" ht="103.5" customHeight="1">
      <c r="A217" s="53" t="s">
        <v>877</v>
      </c>
      <c r="B217" s="54" t="s">
        <v>293</v>
      </c>
      <c r="C217" s="14" t="s">
        <v>30</v>
      </c>
      <c r="D217" s="14" t="s">
        <v>872</v>
      </c>
      <c r="E217" s="14" t="s">
        <v>872</v>
      </c>
      <c r="F217" s="53" t="s">
        <v>878</v>
      </c>
      <c r="G217" s="14" t="s">
        <v>879</v>
      </c>
      <c r="H217" s="54" t="s">
        <v>842</v>
      </c>
      <c r="I217" s="14" t="s">
        <v>842</v>
      </c>
      <c r="J217" s="14" t="s">
        <v>16</v>
      </c>
      <c r="K217" s="30">
        <f>SUMIFS($K:$K,$E:$E,A217,$B:$B,"Sous-tâche")</f>
        <v>8</v>
      </c>
      <c r="L217" s="55">
        <v>13</v>
      </c>
      <c r="M217" s="14" t="s">
        <v>312</v>
      </c>
      <c r="N217" s="14" t="s">
        <v>25</v>
      </c>
      <c r="O217" s="14" t="s">
        <v>348</v>
      </c>
      <c r="P217" s="14" t="s">
        <v>875</v>
      </c>
      <c r="Q217" s="57" t="str">
        <f>IF(COUNTIFS($E:$E,A217,$B:$B,"Sous-tâche")=0,"To Do",IF(COUNTIFS($E:$E,A217,$B:$B,"Sous-tâche",$Q:$Q,"Done")=COUNTIFS($E:$E,A217,$B:$B,"Sous-tâche"),"Done",IF(COUNTIFS($E:$E,A217,$B:$B,"Sous-tâche",$Q:$Q,"To Do")=COUNTIFS($E:$E,A217,$B:$B,"Sous-tâche"),"To Do","In Progress")))</f>
        <v>To Do</v>
      </c>
      <c r="R217" s="14" t="s">
        <v>876</v>
      </c>
    </row>
    <row r="218" spans="1:18" ht="15" customHeight="1">
      <c r="A218" s="70" t="s">
        <v>880</v>
      </c>
      <c r="B218" s="70" t="s">
        <v>299</v>
      </c>
      <c r="C218" s="14" t="s">
        <v>30</v>
      </c>
      <c r="D218" s="14" t="s">
        <v>872</v>
      </c>
      <c r="E218" s="14" t="s">
        <v>877</v>
      </c>
      <c r="F218" s="70" t="s">
        <v>881</v>
      </c>
      <c r="G218" s="14"/>
      <c r="H218" s="70" t="s">
        <v>15</v>
      </c>
      <c r="I218" s="14" t="s">
        <v>15</v>
      </c>
      <c r="J218" s="70" t="s">
        <v>16</v>
      </c>
      <c r="K218" s="59">
        <v>3</v>
      </c>
      <c r="L218" s="15"/>
      <c r="M218" s="14" t="s">
        <v>312</v>
      </c>
      <c r="N218" s="14" t="s">
        <v>25</v>
      </c>
      <c r="O218" s="14" t="s">
        <v>348</v>
      </c>
      <c r="P218" s="14"/>
      <c r="Q218" s="14" t="s">
        <v>315</v>
      </c>
      <c r="R218" s="14" t="s">
        <v>876</v>
      </c>
    </row>
    <row r="219" spans="1:18" ht="15" customHeight="1">
      <c r="A219" s="42" t="s">
        <v>882</v>
      </c>
      <c r="B219" s="42" t="s">
        <v>299</v>
      </c>
      <c r="C219" s="14" t="s">
        <v>30</v>
      </c>
      <c r="D219" s="14" t="s">
        <v>872</v>
      </c>
      <c r="E219" s="14" t="s">
        <v>877</v>
      </c>
      <c r="F219" s="42" t="s">
        <v>883</v>
      </c>
      <c r="G219" s="14"/>
      <c r="H219" s="42" t="s">
        <v>13</v>
      </c>
      <c r="I219" s="14" t="s">
        <v>13</v>
      </c>
      <c r="J219" s="42" t="s">
        <v>47</v>
      </c>
      <c r="K219" s="59">
        <v>1.5</v>
      </c>
      <c r="L219" s="15"/>
      <c r="M219" s="14" t="s">
        <v>312</v>
      </c>
      <c r="N219" s="14" t="s">
        <v>25</v>
      </c>
      <c r="O219" s="14" t="s">
        <v>348</v>
      </c>
      <c r="P219" s="14"/>
      <c r="Q219" s="14" t="s">
        <v>315</v>
      </c>
      <c r="R219" s="14" t="s">
        <v>876</v>
      </c>
    </row>
    <row r="220" spans="1:18" ht="15" customHeight="1">
      <c r="A220" s="70" t="s">
        <v>884</v>
      </c>
      <c r="B220" s="70" t="s">
        <v>299</v>
      </c>
      <c r="C220" s="14" t="s">
        <v>30</v>
      </c>
      <c r="D220" s="14" t="s">
        <v>872</v>
      </c>
      <c r="E220" s="14" t="s">
        <v>877</v>
      </c>
      <c r="F220" s="70" t="s">
        <v>885</v>
      </c>
      <c r="G220" s="14"/>
      <c r="H220" s="70" t="s">
        <v>15</v>
      </c>
      <c r="I220" s="14" t="s">
        <v>15</v>
      </c>
      <c r="J220" s="70" t="s">
        <v>16</v>
      </c>
      <c r="K220" s="59">
        <v>2.5</v>
      </c>
      <c r="L220" s="15"/>
      <c r="M220" s="14" t="s">
        <v>312</v>
      </c>
      <c r="N220" s="14" t="s">
        <v>25</v>
      </c>
      <c r="O220" s="14" t="s">
        <v>348</v>
      </c>
      <c r="P220" s="14"/>
      <c r="Q220" s="14" t="s">
        <v>315</v>
      </c>
      <c r="R220" s="14" t="s">
        <v>876</v>
      </c>
    </row>
    <row r="221" spans="1:18" ht="15" customHeight="1">
      <c r="A221" s="42" t="s">
        <v>886</v>
      </c>
      <c r="B221" s="42" t="s">
        <v>299</v>
      </c>
      <c r="C221" s="14" t="s">
        <v>30</v>
      </c>
      <c r="D221" s="14" t="s">
        <v>872</v>
      </c>
      <c r="E221" s="14" t="s">
        <v>877</v>
      </c>
      <c r="F221" s="42" t="s">
        <v>887</v>
      </c>
      <c r="G221" s="14"/>
      <c r="H221" s="42" t="s">
        <v>13</v>
      </c>
      <c r="I221" s="14" t="s">
        <v>13</v>
      </c>
      <c r="J221" s="42" t="s">
        <v>47</v>
      </c>
      <c r="K221" s="59">
        <v>1</v>
      </c>
      <c r="L221" s="15"/>
      <c r="M221" s="14" t="s">
        <v>312</v>
      </c>
      <c r="N221" s="14" t="s">
        <v>25</v>
      </c>
      <c r="O221" s="14" t="s">
        <v>348</v>
      </c>
      <c r="P221" s="14"/>
      <c r="Q221" s="14" t="s">
        <v>315</v>
      </c>
      <c r="R221" s="14" t="s">
        <v>876</v>
      </c>
    </row>
    <row r="222" spans="1:18" ht="103.5" customHeight="1">
      <c r="A222" s="53" t="s">
        <v>888</v>
      </c>
      <c r="B222" s="54" t="s">
        <v>293</v>
      </c>
      <c r="C222" s="14" t="s">
        <v>30</v>
      </c>
      <c r="D222" s="14" t="s">
        <v>872</v>
      </c>
      <c r="E222" s="14" t="s">
        <v>872</v>
      </c>
      <c r="F222" s="53" t="s">
        <v>889</v>
      </c>
      <c r="G222" s="14" t="s">
        <v>890</v>
      </c>
      <c r="H222" s="54" t="s">
        <v>842</v>
      </c>
      <c r="I222" s="14" t="s">
        <v>842</v>
      </c>
      <c r="J222" s="14" t="s">
        <v>16</v>
      </c>
      <c r="K222" s="30">
        <f>SUMIFS($K:$K,$E:$E,A222,$B:$B,"Sous-tâche")</f>
        <v>6</v>
      </c>
      <c r="L222" s="55">
        <v>13</v>
      </c>
      <c r="M222" s="14" t="s">
        <v>312</v>
      </c>
      <c r="N222" s="14" t="s">
        <v>247</v>
      </c>
      <c r="O222" s="14" t="s">
        <v>348</v>
      </c>
      <c r="P222" s="14" t="s">
        <v>875</v>
      </c>
      <c r="Q222" s="57" t="str">
        <f>IF(COUNTIFS($E:$E,A222,$B:$B,"Sous-tâche")=0,"To Do",IF(COUNTIFS($E:$E,A222,$B:$B,"Sous-tâche",$Q:$Q,"Done")=COUNTIFS($E:$E,A222,$B:$B,"Sous-tâche"),"Done",IF(COUNTIFS($E:$E,A222,$B:$B,"Sous-tâche",$Q:$Q,"To Do")=COUNTIFS($E:$E,A222,$B:$B,"Sous-tâche"),"To Do","In Progress")))</f>
        <v>To Do</v>
      </c>
      <c r="R222" s="14" t="s">
        <v>876</v>
      </c>
    </row>
    <row r="223" spans="1:18" ht="15" customHeight="1">
      <c r="A223" s="70" t="s">
        <v>891</v>
      </c>
      <c r="B223" s="70" t="s">
        <v>299</v>
      </c>
      <c r="C223" s="14" t="s">
        <v>30</v>
      </c>
      <c r="D223" s="14" t="s">
        <v>872</v>
      </c>
      <c r="E223" s="14" t="s">
        <v>888</v>
      </c>
      <c r="F223" s="70" t="s">
        <v>892</v>
      </c>
      <c r="G223" s="14"/>
      <c r="H223" s="70" t="s">
        <v>15</v>
      </c>
      <c r="I223" s="14" t="s">
        <v>15</v>
      </c>
      <c r="J223" s="70" t="s">
        <v>16</v>
      </c>
      <c r="K223" s="59">
        <v>2.5</v>
      </c>
      <c r="L223" s="15"/>
      <c r="M223" s="14" t="s">
        <v>312</v>
      </c>
      <c r="N223" s="14" t="s">
        <v>247</v>
      </c>
      <c r="O223" s="14" t="s">
        <v>348</v>
      </c>
      <c r="P223" s="14"/>
      <c r="Q223" s="14" t="s">
        <v>315</v>
      </c>
      <c r="R223" s="14" t="s">
        <v>876</v>
      </c>
    </row>
    <row r="224" spans="1:18" ht="15" customHeight="1">
      <c r="A224" s="42" t="s">
        <v>893</v>
      </c>
      <c r="B224" s="42" t="s">
        <v>299</v>
      </c>
      <c r="C224" s="14" t="s">
        <v>30</v>
      </c>
      <c r="D224" s="14" t="s">
        <v>872</v>
      </c>
      <c r="E224" s="14" t="s">
        <v>888</v>
      </c>
      <c r="F224" s="42" t="s">
        <v>894</v>
      </c>
      <c r="G224" s="14"/>
      <c r="H224" s="42" t="s">
        <v>13</v>
      </c>
      <c r="I224" s="14" t="s">
        <v>13</v>
      </c>
      <c r="J224" s="42" t="s">
        <v>47</v>
      </c>
      <c r="K224" s="59">
        <v>2</v>
      </c>
      <c r="L224" s="15"/>
      <c r="M224" s="14" t="s">
        <v>312</v>
      </c>
      <c r="N224" s="14" t="s">
        <v>247</v>
      </c>
      <c r="O224" s="14" t="s">
        <v>348</v>
      </c>
      <c r="P224" s="14"/>
      <c r="Q224" s="14" t="s">
        <v>315</v>
      </c>
      <c r="R224" s="14" t="s">
        <v>876</v>
      </c>
    </row>
    <row r="225" spans="1:18" ht="15" customHeight="1">
      <c r="A225" s="70" t="s">
        <v>895</v>
      </c>
      <c r="B225" s="70" t="s">
        <v>299</v>
      </c>
      <c r="C225" s="14" t="s">
        <v>30</v>
      </c>
      <c r="D225" s="14" t="s">
        <v>872</v>
      </c>
      <c r="E225" s="14" t="s">
        <v>888</v>
      </c>
      <c r="F225" s="70" t="s">
        <v>896</v>
      </c>
      <c r="G225" s="14"/>
      <c r="H225" s="70" t="s">
        <v>15</v>
      </c>
      <c r="I225" s="14" t="s">
        <v>15</v>
      </c>
      <c r="J225" s="70" t="s">
        <v>16</v>
      </c>
      <c r="K225" s="59">
        <v>1.5</v>
      </c>
      <c r="L225" s="15"/>
      <c r="M225" s="14" t="s">
        <v>312</v>
      </c>
      <c r="N225" s="14" t="s">
        <v>247</v>
      </c>
      <c r="O225" s="14" t="s">
        <v>348</v>
      </c>
      <c r="P225" s="14"/>
      <c r="Q225" s="14" t="s">
        <v>315</v>
      </c>
      <c r="R225" s="14" t="s">
        <v>876</v>
      </c>
    </row>
    <row r="226" spans="1:18" ht="103.5" customHeight="1">
      <c r="A226" s="53" t="s">
        <v>897</v>
      </c>
      <c r="B226" s="54" t="s">
        <v>293</v>
      </c>
      <c r="C226" s="14" t="s">
        <v>30</v>
      </c>
      <c r="D226" s="14" t="s">
        <v>872</v>
      </c>
      <c r="E226" s="14" t="s">
        <v>872</v>
      </c>
      <c r="F226" s="53" t="s">
        <v>898</v>
      </c>
      <c r="G226" s="14" t="s">
        <v>899</v>
      </c>
      <c r="H226" s="54" t="s">
        <v>900</v>
      </c>
      <c r="I226" s="14" t="s">
        <v>860</v>
      </c>
      <c r="J226" s="14" t="s">
        <v>16</v>
      </c>
      <c r="K226" s="30">
        <f>SUMIFS($K:$K,$E:$E,A226,$B:$B,"Sous-tâche")</f>
        <v>4</v>
      </c>
      <c r="L226" s="55">
        <v>8</v>
      </c>
      <c r="M226" s="14" t="s">
        <v>652</v>
      </c>
      <c r="N226" s="14" t="s">
        <v>247</v>
      </c>
      <c r="O226" s="14" t="s">
        <v>348</v>
      </c>
      <c r="P226" s="14" t="s">
        <v>875</v>
      </c>
      <c r="Q226" s="57" t="str">
        <f>IF(COUNTIFS($E:$E,A226,$B:$B,"Sous-tâche")=0,"To Do",IF(COUNTIFS($E:$E,A226,$B:$B,"Sous-tâche",$Q:$Q,"Done")=COUNTIFS($E:$E,A226,$B:$B,"Sous-tâche"),"Done",IF(COUNTIFS($E:$E,A226,$B:$B,"Sous-tâche",$Q:$Q,"To Do")=COUNTIFS($E:$E,A226,$B:$B,"Sous-tâche"),"To Do","In Progress")))</f>
        <v>To Do</v>
      </c>
      <c r="R226" s="14" t="s">
        <v>876</v>
      </c>
    </row>
    <row r="227" spans="1:18" ht="15" customHeight="1">
      <c r="A227" s="70" t="s">
        <v>901</v>
      </c>
      <c r="B227" s="70" t="s">
        <v>299</v>
      </c>
      <c r="C227" s="14" t="s">
        <v>30</v>
      </c>
      <c r="D227" s="14" t="s">
        <v>872</v>
      </c>
      <c r="E227" s="14" t="s">
        <v>897</v>
      </c>
      <c r="F227" s="70" t="s">
        <v>902</v>
      </c>
      <c r="G227" s="14"/>
      <c r="H227" s="70" t="s">
        <v>15</v>
      </c>
      <c r="I227" s="14" t="s">
        <v>15</v>
      </c>
      <c r="J227" s="70" t="s">
        <v>16</v>
      </c>
      <c r="K227" s="59">
        <v>2.5</v>
      </c>
      <c r="L227" s="15"/>
      <c r="M227" s="14" t="s">
        <v>652</v>
      </c>
      <c r="N227" s="14" t="s">
        <v>247</v>
      </c>
      <c r="O227" s="14" t="s">
        <v>348</v>
      </c>
      <c r="P227" s="14"/>
      <c r="Q227" s="14" t="s">
        <v>315</v>
      </c>
      <c r="R227" s="14" t="s">
        <v>876</v>
      </c>
    </row>
    <row r="228" spans="1:18" ht="15" customHeight="1">
      <c r="A228" s="42" t="s">
        <v>903</v>
      </c>
      <c r="B228" s="42" t="s">
        <v>299</v>
      </c>
      <c r="C228" s="14" t="s">
        <v>30</v>
      </c>
      <c r="D228" s="14" t="s">
        <v>872</v>
      </c>
      <c r="E228" s="14" t="s">
        <v>897</v>
      </c>
      <c r="F228" s="42" t="s">
        <v>904</v>
      </c>
      <c r="G228" s="14"/>
      <c r="H228" s="42" t="s">
        <v>13</v>
      </c>
      <c r="I228" s="14" t="s">
        <v>13</v>
      </c>
      <c r="J228" s="42" t="s">
        <v>47</v>
      </c>
      <c r="K228" s="59">
        <v>1</v>
      </c>
      <c r="L228" s="15"/>
      <c r="M228" s="14" t="s">
        <v>652</v>
      </c>
      <c r="N228" s="14" t="s">
        <v>247</v>
      </c>
      <c r="O228" s="14" t="s">
        <v>348</v>
      </c>
      <c r="P228" s="14"/>
      <c r="Q228" s="14" t="s">
        <v>315</v>
      </c>
      <c r="R228" s="14" t="s">
        <v>876</v>
      </c>
    </row>
    <row r="229" spans="1:18" ht="15" customHeight="1">
      <c r="A229" s="63" t="s">
        <v>905</v>
      </c>
      <c r="B229" s="63" t="s">
        <v>299</v>
      </c>
      <c r="C229" s="14" t="s">
        <v>30</v>
      </c>
      <c r="D229" s="14" t="s">
        <v>872</v>
      </c>
      <c r="E229" s="14" t="s">
        <v>897</v>
      </c>
      <c r="F229" s="63" t="s">
        <v>906</v>
      </c>
      <c r="G229" s="14"/>
      <c r="H229" s="63" t="s">
        <v>333</v>
      </c>
      <c r="I229" s="14" t="s">
        <v>11</v>
      </c>
      <c r="J229" s="58" t="s">
        <v>12</v>
      </c>
      <c r="K229" s="59">
        <v>0.5</v>
      </c>
      <c r="L229" s="15"/>
      <c r="M229" s="14" t="s">
        <v>652</v>
      </c>
      <c r="N229" s="14" t="s">
        <v>247</v>
      </c>
      <c r="O229" s="14" t="s">
        <v>348</v>
      </c>
      <c r="P229" s="14"/>
      <c r="Q229" s="14" t="s">
        <v>315</v>
      </c>
      <c r="R229" s="14" t="s">
        <v>876</v>
      </c>
    </row>
    <row r="230" spans="1:18" ht="103.5" customHeight="1">
      <c r="A230" s="53" t="s">
        <v>907</v>
      </c>
      <c r="B230" s="54" t="s">
        <v>293</v>
      </c>
      <c r="C230" s="14" t="s">
        <v>30</v>
      </c>
      <c r="D230" s="14" t="s">
        <v>872</v>
      </c>
      <c r="E230" s="14" t="s">
        <v>872</v>
      </c>
      <c r="F230" s="53" t="s">
        <v>908</v>
      </c>
      <c r="G230" s="14" t="s">
        <v>909</v>
      </c>
      <c r="H230" s="54" t="s">
        <v>859</v>
      </c>
      <c r="I230" s="14" t="s">
        <v>860</v>
      </c>
      <c r="J230" s="14" t="s">
        <v>16</v>
      </c>
      <c r="K230" s="30">
        <f>SUMIFS($K:$K,$E:$E,A230,$B:$B,"Sous-tâche")</f>
        <v>5</v>
      </c>
      <c r="L230" s="55">
        <v>8</v>
      </c>
      <c r="M230" s="14" t="s">
        <v>652</v>
      </c>
      <c r="N230" s="14" t="s">
        <v>247</v>
      </c>
      <c r="O230" s="14" t="s">
        <v>348</v>
      </c>
      <c r="P230" s="14" t="s">
        <v>875</v>
      </c>
      <c r="Q230" s="57" t="str">
        <f>IF(COUNTIFS($E:$E,A230,$B:$B,"Sous-tâche")=0,"To Do",IF(COUNTIFS($E:$E,A230,$B:$B,"Sous-tâche",$Q:$Q,"Done")=COUNTIFS($E:$E,A230,$B:$B,"Sous-tâche"),"Done",IF(COUNTIFS($E:$E,A230,$B:$B,"Sous-tâche",$Q:$Q,"To Do")=COUNTIFS($E:$E,A230,$B:$B,"Sous-tâche"),"To Do","In Progress")))</f>
        <v>To Do</v>
      </c>
      <c r="R230" s="14" t="s">
        <v>876</v>
      </c>
    </row>
    <row r="231" spans="1:18" ht="15" customHeight="1">
      <c r="A231" s="70" t="s">
        <v>910</v>
      </c>
      <c r="B231" s="70" t="s">
        <v>299</v>
      </c>
      <c r="C231" s="14" t="s">
        <v>30</v>
      </c>
      <c r="D231" s="14" t="s">
        <v>872</v>
      </c>
      <c r="E231" s="14" t="s">
        <v>907</v>
      </c>
      <c r="F231" s="70" t="s">
        <v>911</v>
      </c>
      <c r="G231" s="14"/>
      <c r="H231" s="70" t="s">
        <v>15</v>
      </c>
      <c r="I231" s="14" t="s">
        <v>15</v>
      </c>
      <c r="J231" s="70" t="s">
        <v>16</v>
      </c>
      <c r="K231" s="59">
        <v>2.5</v>
      </c>
      <c r="L231" s="15"/>
      <c r="M231" s="14" t="s">
        <v>652</v>
      </c>
      <c r="N231" s="14" t="s">
        <v>247</v>
      </c>
      <c r="O231" s="14" t="s">
        <v>348</v>
      </c>
      <c r="P231" s="14"/>
      <c r="Q231" s="14" t="s">
        <v>315</v>
      </c>
      <c r="R231" s="14" t="s">
        <v>876</v>
      </c>
    </row>
    <row r="232" spans="1:18" ht="15" customHeight="1">
      <c r="A232" s="42" t="s">
        <v>912</v>
      </c>
      <c r="B232" s="42" t="s">
        <v>299</v>
      </c>
      <c r="C232" s="14" t="s">
        <v>30</v>
      </c>
      <c r="D232" s="14" t="s">
        <v>872</v>
      </c>
      <c r="E232" s="14" t="s">
        <v>907</v>
      </c>
      <c r="F232" s="42" t="s">
        <v>913</v>
      </c>
      <c r="G232" s="14"/>
      <c r="H232" s="42" t="s">
        <v>13</v>
      </c>
      <c r="I232" s="14" t="s">
        <v>13</v>
      </c>
      <c r="J232" s="42" t="s">
        <v>47</v>
      </c>
      <c r="K232" s="59">
        <v>1.5</v>
      </c>
      <c r="L232" s="15"/>
      <c r="M232" s="14" t="s">
        <v>652</v>
      </c>
      <c r="N232" s="14" t="s">
        <v>247</v>
      </c>
      <c r="O232" s="14" t="s">
        <v>348</v>
      </c>
      <c r="P232" s="14"/>
      <c r="Q232" s="14" t="s">
        <v>315</v>
      </c>
      <c r="R232" s="14" t="s">
        <v>876</v>
      </c>
    </row>
    <row r="233" spans="1:18" ht="15" customHeight="1">
      <c r="A233" s="58" t="s">
        <v>914</v>
      </c>
      <c r="B233" s="58" t="s">
        <v>299</v>
      </c>
      <c r="C233" s="14" t="s">
        <v>30</v>
      </c>
      <c r="D233" s="14" t="s">
        <v>872</v>
      </c>
      <c r="E233" s="14" t="s">
        <v>907</v>
      </c>
      <c r="F233" s="58" t="s">
        <v>915</v>
      </c>
      <c r="G233" s="14"/>
      <c r="H233" s="58" t="s">
        <v>296</v>
      </c>
      <c r="I233" s="14" t="s">
        <v>11</v>
      </c>
      <c r="J233" s="58" t="s">
        <v>12</v>
      </c>
      <c r="K233" s="59">
        <v>1</v>
      </c>
      <c r="L233" s="15"/>
      <c r="M233" s="14" t="s">
        <v>652</v>
      </c>
      <c r="N233" s="14" t="s">
        <v>247</v>
      </c>
      <c r="O233" s="14" t="s">
        <v>348</v>
      </c>
      <c r="P233" s="14"/>
      <c r="Q233" s="14" t="s">
        <v>315</v>
      </c>
      <c r="R233" s="14" t="s">
        <v>876</v>
      </c>
    </row>
    <row r="234" spans="1:18" ht="90.75" customHeight="1">
      <c r="A234" s="53" t="s">
        <v>916</v>
      </c>
      <c r="B234" s="54" t="s">
        <v>293</v>
      </c>
      <c r="C234" s="14" t="s">
        <v>30</v>
      </c>
      <c r="D234" s="14" t="s">
        <v>872</v>
      </c>
      <c r="E234" s="14" t="s">
        <v>872</v>
      </c>
      <c r="F234" s="53" t="s">
        <v>917</v>
      </c>
      <c r="G234" s="14" t="s">
        <v>918</v>
      </c>
      <c r="H234" s="54" t="s">
        <v>346</v>
      </c>
      <c r="I234" s="14" t="s">
        <v>347</v>
      </c>
      <c r="J234" s="14" t="s">
        <v>12</v>
      </c>
      <c r="K234" s="30">
        <f>SUMIFS($K:$K,$E:$E,A234,$B:$B,"Sous-tâche")</f>
        <v>4</v>
      </c>
      <c r="L234" s="55">
        <v>8</v>
      </c>
      <c r="M234" s="14" t="s">
        <v>312</v>
      </c>
      <c r="N234" s="14" t="s">
        <v>247</v>
      </c>
      <c r="O234" s="14" t="s">
        <v>348</v>
      </c>
      <c r="P234" s="14" t="s">
        <v>875</v>
      </c>
      <c r="Q234" s="57" t="str">
        <f>IF(COUNTIFS($E:$E,A234,$B:$B,"Sous-tâche")=0,"To Do",IF(COUNTIFS($E:$E,A234,$B:$B,"Sous-tâche",$Q:$Q,"Done")=COUNTIFS($E:$E,A234,$B:$B,"Sous-tâche"),"Done",IF(COUNTIFS($E:$E,A234,$B:$B,"Sous-tâche",$Q:$Q,"To Do")=COUNTIFS($E:$E,A234,$B:$B,"Sous-tâche"),"To Do","In Progress")))</f>
        <v>To Do</v>
      </c>
      <c r="R234" s="14" t="s">
        <v>876</v>
      </c>
    </row>
    <row r="235" spans="1:18" ht="15" customHeight="1">
      <c r="A235" s="58" t="s">
        <v>919</v>
      </c>
      <c r="B235" s="58" t="s">
        <v>299</v>
      </c>
      <c r="C235" s="14" t="s">
        <v>30</v>
      </c>
      <c r="D235" s="14" t="s">
        <v>872</v>
      </c>
      <c r="E235" s="14" t="s">
        <v>916</v>
      </c>
      <c r="F235" s="58" t="s">
        <v>920</v>
      </c>
      <c r="G235" s="14"/>
      <c r="H235" s="58" t="s">
        <v>296</v>
      </c>
      <c r="I235" s="14" t="s">
        <v>11</v>
      </c>
      <c r="J235" s="58" t="s">
        <v>12</v>
      </c>
      <c r="K235" s="59">
        <v>2.5</v>
      </c>
      <c r="L235" s="15"/>
      <c r="M235" s="14" t="s">
        <v>312</v>
      </c>
      <c r="N235" s="14" t="s">
        <v>247</v>
      </c>
      <c r="O235" s="14" t="s">
        <v>348</v>
      </c>
      <c r="P235" s="14"/>
      <c r="Q235" s="14" t="s">
        <v>315</v>
      </c>
      <c r="R235" s="14" t="s">
        <v>876</v>
      </c>
    </row>
    <row r="236" spans="1:18" ht="15" customHeight="1">
      <c r="A236" s="42" t="s">
        <v>921</v>
      </c>
      <c r="B236" s="42" t="s">
        <v>299</v>
      </c>
      <c r="C236" s="14" t="s">
        <v>30</v>
      </c>
      <c r="D236" s="14" t="s">
        <v>872</v>
      </c>
      <c r="E236" s="14" t="s">
        <v>916</v>
      </c>
      <c r="F236" s="42" t="s">
        <v>922</v>
      </c>
      <c r="G236" s="14"/>
      <c r="H236" s="42" t="s">
        <v>13</v>
      </c>
      <c r="I236" s="14" t="s">
        <v>13</v>
      </c>
      <c r="J236" s="42" t="s">
        <v>47</v>
      </c>
      <c r="K236" s="59">
        <v>1</v>
      </c>
      <c r="L236" s="15"/>
      <c r="M236" s="14" t="s">
        <v>312</v>
      </c>
      <c r="N236" s="14" t="s">
        <v>247</v>
      </c>
      <c r="O236" s="14" t="s">
        <v>348</v>
      </c>
      <c r="P236" s="14"/>
      <c r="Q236" s="14" t="s">
        <v>315</v>
      </c>
      <c r="R236" s="14" t="s">
        <v>876</v>
      </c>
    </row>
    <row r="237" spans="1:18" ht="15" customHeight="1">
      <c r="A237" s="42" t="s">
        <v>923</v>
      </c>
      <c r="B237" s="42" t="s">
        <v>299</v>
      </c>
      <c r="C237" s="14" t="s">
        <v>30</v>
      </c>
      <c r="D237" s="14" t="s">
        <v>872</v>
      </c>
      <c r="E237" s="14" t="s">
        <v>916</v>
      </c>
      <c r="F237" s="42" t="s">
        <v>924</v>
      </c>
      <c r="G237" s="14"/>
      <c r="H237" s="42" t="s">
        <v>13</v>
      </c>
      <c r="I237" s="14" t="s">
        <v>13</v>
      </c>
      <c r="J237" s="42" t="s">
        <v>47</v>
      </c>
      <c r="K237" s="59">
        <v>0.5</v>
      </c>
      <c r="L237" s="15"/>
      <c r="M237" s="14" t="s">
        <v>312</v>
      </c>
      <c r="N237" s="14" t="s">
        <v>247</v>
      </c>
      <c r="O237" s="14" t="s">
        <v>348</v>
      </c>
      <c r="P237" s="14"/>
      <c r="Q237" s="14" t="s">
        <v>315</v>
      </c>
      <c r="R237" s="14" t="s">
        <v>876</v>
      </c>
    </row>
    <row r="238" spans="1:18" ht="103.5" customHeight="1">
      <c r="A238" s="53" t="s">
        <v>925</v>
      </c>
      <c r="B238" s="54" t="s">
        <v>293</v>
      </c>
      <c r="C238" s="14" t="s">
        <v>30</v>
      </c>
      <c r="D238" s="14" t="s">
        <v>872</v>
      </c>
      <c r="E238" s="14" t="s">
        <v>872</v>
      </c>
      <c r="F238" s="53" t="s">
        <v>926</v>
      </c>
      <c r="G238" s="14" t="s">
        <v>927</v>
      </c>
      <c r="H238" s="54" t="s">
        <v>859</v>
      </c>
      <c r="I238" s="14" t="s">
        <v>860</v>
      </c>
      <c r="J238" s="14" t="s">
        <v>16</v>
      </c>
      <c r="K238" s="30">
        <f>SUMIFS($K:$K,$E:$E,A238,$B:$B,"Sous-tâche")</f>
        <v>4.5</v>
      </c>
      <c r="L238" s="55">
        <v>8</v>
      </c>
      <c r="M238" s="14" t="s">
        <v>652</v>
      </c>
      <c r="N238" s="14" t="s">
        <v>247</v>
      </c>
      <c r="O238" s="56" t="s">
        <v>297</v>
      </c>
      <c r="P238" s="14" t="s">
        <v>875</v>
      </c>
      <c r="Q238" s="57" t="str">
        <f>IF(COUNTIFS($E:$E,A238,$B:$B,"Sous-tâche")=0,"To Do",IF(COUNTIFS($E:$E,A238,$B:$B,"Sous-tâche",$Q:$Q,"Done")=COUNTIFS($E:$E,A238,$B:$B,"Sous-tâche"),"Done",IF(COUNTIFS($E:$E,A238,$B:$B,"Sous-tâche",$Q:$Q,"To Do")=COUNTIFS($E:$E,A238,$B:$B,"Sous-tâche"),"To Do","In Progress")))</f>
        <v>To Do</v>
      </c>
      <c r="R238" s="14" t="s">
        <v>876</v>
      </c>
    </row>
    <row r="239" spans="1:18" ht="15" customHeight="1">
      <c r="A239" s="70" t="s">
        <v>928</v>
      </c>
      <c r="B239" s="70" t="s">
        <v>299</v>
      </c>
      <c r="C239" s="14" t="s">
        <v>30</v>
      </c>
      <c r="D239" s="14" t="s">
        <v>872</v>
      </c>
      <c r="E239" s="14" t="s">
        <v>925</v>
      </c>
      <c r="F239" s="70" t="s">
        <v>929</v>
      </c>
      <c r="G239" s="14"/>
      <c r="H239" s="70" t="s">
        <v>15</v>
      </c>
      <c r="I239" s="14" t="s">
        <v>15</v>
      </c>
      <c r="J239" s="70" t="s">
        <v>16</v>
      </c>
      <c r="K239" s="59">
        <v>2</v>
      </c>
      <c r="L239" s="15"/>
      <c r="M239" s="14" t="s">
        <v>652</v>
      </c>
      <c r="N239" s="14" t="s">
        <v>247</v>
      </c>
      <c r="O239" s="56" t="s">
        <v>297</v>
      </c>
      <c r="P239" s="14"/>
      <c r="Q239" s="14" t="s">
        <v>315</v>
      </c>
      <c r="R239" s="14" t="s">
        <v>876</v>
      </c>
    </row>
    <row r="240" spans="1:18" ht="15" customHeight="1">
      <c r="A240" s="42" t="s">
        <v>930</v>
      </c>
      <c r="B240" s="42" t="s">
        <v>299</v>
      </c>
      <c r="C240" s="14" t="s">
        <v>30</v>
      </c>
      <c r="D240" s="14" t="s">
        <v>872</v>
      </c>
      <c r="E240" s="14" t="s">
        <v>925</v>
      </c>
      <c r="F240" s="42" t="s">
        <v>931</v>
      </c>
      <c r="G240" s="14"/>
      <c r="H240" s="42" t="s">
        <v>13</v>
      </c>
      <c r="I240" s="14" t="s">
        <v>13</v>
      </c>
      <c r="J240" s="42" t="s">
        <v>47</v>
      </c>
      <c r="K240" s="59">
        <v>1.5</v>
      </c>
      <c r="L240" s="15"/>
      <c r="M240" s="14" t="s">
        <v>652</v>
      </c>
      <c r="N240" s="14" t="s">
        <v>247</v>
      </c>
      <c r="O240" s="56" t="s">
        <v>297</v>
      </c>
      <c r="P240" s="14"/>
      <c r="Q240" s="14" t="s">
        <v>315</v>
      </c>
      <c r="R240" s="14" t="s">
        <v>876</v>
      </c>
    </row>
    <row r="241" spans="1:18" ht="15" customHeight="1">
      <c r="A241" s="58" t="s">
        <v>932</v>
      </c>
      <c r="B241" s="58" t="s">
        <v>299</v>
      </c>
      <c r="C241" s="14" t="s">
        <v>30</v>
      </c>
      <c r="D241" s="14" t="s">
        <v>872</v>
      </c>
      <c r="E241" s="14" t="s">
        <v>925</v>
      </c>
      <c r="F241" s="58" t="s">
        <v>933</v>
      </c>
      <c r="G241" s="14"/>
      <c r="H241" s="58" t="s">
        <v>296</v>
      </c>
      <c r="I241" s="14" t="s">
        <v>11</v>
      </c>
      <c r="J241" s="58" t="s">
        <v>12</v>
      </c>
      <c r="K241" s="59">
        <v>1</v>
      </c>
      <c r="L241" s="15"/>
      <c r="M241" s="14" t="s">
        <v>652</v>
      </c>
      <c r="N241" s="14" t="s">
        <v>247</v>
      </c>
      <c r="O241" s="56" t="s">
        <v>297</v>
      </c>
      <c r="P241" s="14"/>
      <c r="Q241" s="14" t="s">
        <v>315</v>
      </c>
      <c r="R241" s="14" t="s">
        <v>876</v>
      </c>
    </row>
    <row r="242" spans="1:18" ht="103.5" customHeight="1">
      <c r="A242" s="53" t="s">
        <v>934</v>
      </c>
      <c r="B242" s="54" t="s">
        <v>293</v>
      </c>
      <c r="C242" s="14" t="s">
        <v>30</v>
      </c>
      <c r="D242" s="14" t="s">
        <v>872</v>
      </c>
      <c r="E242" s="14" t="s">
        <v>872</v>
      </c>
      <c r="F242" s="53" t="s">
        <v>935</v>
      </c>
      <c r="G242" s="14" t="s">
        <v>936</v>
      </c>
      <c r="H242" s="54" t="s">
        <v>333</v>
      </c>
      <c r="I242" s="14" t="s">
        <v>11</v>
      </c>
      <c r="J242" s="14" t="s">
        <v>12</v>
      </c>
      <c r="K242" s="30">
        <f>SUMIFS($K:$K,$E:$E,A242,$B:$B,"Sous-tâche")</f>
        <v>2</v>
      </c>
      <c r="L242" s="55">
        <v>3</v>
      </c>
      <c r="M242" s="14" t="s">
        <v>312</v>
      </c>
      <c r="N242" s="14" t="s">
        <v>254</v>
      </c>
      <c r="O242" s="56" t="s">
        <v>297</v>
      </c>
      <c r="P242" s="14" t="s">
        <v>875</v>
      </c>
      <c r="Q242" s="57" t="str">
        <f>IF(COUNTIFS($E:$E,A242,$B:$B,"Sous-tâche")=0,"To Do",IF(COUNTIFS($E:$E,A242,$B:$B,"Sous-tâche",$Q:$Q,"Done")=COUNTIFS($E:$E,A242,$B:$B,"Sous-tâche"),"Done",IF(COUNTIFS($E:$E,A242,$B:$B,"Sous-tâche",$Q:$Q,"To Do")=COUNTIFS($E:$E,A242,$B:$B,"Sous-tâche"),"To Do","In Progress")))</f>
        <v>To Do</v>
      </c>
      <c r="R242" s="14" t="s">
        <v>876</v>
      </c>
    </row>
    <row r="243" spans="1:18" ht="15" customHeight="1">
      <c r="A243" s="63" t="s">
        <v>937</v>
      </c>
      <c r="B243" s="63" t="s">
        <v>299</v>
      </c>
      <c r="C243" s="14" t="s">
        <v>30</v>
      </c>
      <c r="D243" s="14" t="s">
        <v>872</v>
      </c>
      <c r="E243" s="14" t="s">
        <v>934</v>
      </c>
      <c r="F243" s="63" t="s">
        <v>938</v>
      </c>
      <c r="G243" s="14"/>
      <c r="H243" s="63" t="s">
        <v>333</v>
      </c>
      <c r="I243" s="14" t="s">
        <v>11</v>
      </c>
      <c r="J243" s="58" t="s">
        <v>12</v>
      </c>
      <c r="K243" s="59">
        <v>2</v>
      </c>
      <c r="L243" s="15"/>
      <c r="M243" s="14" t="s">
        <v>312</v>
      </c>
      <c r="N243" s="14" t="s">
        <v>254</v>
      </c>
      <c r="O243" s="56" t="s">
        <v>297</v>
      </c>
      <c r="P243" s="14"/>
      <c r="Q243" s="14" t="s">
        <v>315</v>
      </c>
      <c r="R243" s="14" t="s">
        <v>876</v>
      </c>
    </row>
    <row r="244" spans="1:18" ht="30" customHeight="1">
      <c r="A244" s="23" t="s">
        <v>939</v>
      </c>
      <c r="B244" s="23" t="s">
        <v>286</v>
      </c>
      <c r="C244" s="23" t="s">
        <v>30</v>
      </c>
      <c r="D244" s="23" t="s">
        <v>939</v>
      </c>
      <c r="E244" s="23"/>
      <c r="F244" s="23" t="s">
        <v>940</v>
      </c>
      <c r="G244" s="23" t="s">
        <v>941</v>
      </c>
      <c r="H244" s="23"/>
      <c r="I244" s="23"/>
      <c r="J244" s="23"/>
      <c r="K244" s="67">
        <f>SUMIFS($K:$K,$D:$D,A244,$B:$B,"Sous-tâche")</f>
        <v>11</v>
      </c>
      <c r="L244" s="68">
        <f>SUMIFS($L:$L,$D:$D,A244,$B:$B,"Story")</f>
        <v>21</v>
      </c>
      <c r="M244" s="23" t="s">
        <v>312</v>
      </c>
      <c r="N244" s="23"/>
      <c r="O244" s="23"/>
      <c r="P244" s="23" t="s">
        <v>942</v>
      </c>
      <c r="Q244" s="69" t="str">
        <f>IF(COUNTIFS($D:$D,A244,$B:$B,"Sous-tâche")=0,"To Do",IF(COUNTIFS($D:$D,A244,$B:$B,"Sous-tâche",$Q:$Q,"Done")=COUNTIFS($D:$D,A244,$B:$B,"Sous-tâche"),"Done",IF(COUNTIFS($D:$D,A244,$B:$B,"Sous-tâche",$Q:$Q,"To Do")=COUNTIFS($D:$D,A244,$B:$B,"Sous-tâche"),"To Do","In Progress")))</f>
        <v>To Do</v>
      </c>
      <c r="R244" s="23" t="s">
        <v>943</v>
      </c>
    </row>
    <row r="245" spans="1:18" ht="103.5" customHeight="1">
      <c r="A245" s="53" t="s">
        <v>944</v>
      </c>
      <c r="B245" s="54" t="s">
        <v>293</v>
      </c>
      <c r="C245" s="14" t="s">
        <v>30</v>
      </c>
      <c r="D245" s="14" t="s">
        <v>939</v>
      </c>
      <c r="E245" s="14" t="s">
        <v>939</v>
      </c>
      <c r="F245" s="53" t="s">
        <v>945</v>
      </c>
      <c r="G245" s="14" t="s">
        <v>946</v>
      </c>
      <c r="H245" s="54" t="s">
        <v>15</v>
      </c>
      <c r="I245" s="14" t="s">
        <v>15</v>
      </c>
      <c r="J245" s="14" t="s">
        <v>16</v>
      </c>
      <c r="K245" s="30">
        <f>SUMIFS($K:$K,$E:$E,A245,$B:$B,"Sous-tâche")</f>
        <v>5</v>
      </c>
      <c r="L245" s="55">
        <v>8</v>
      </c>
      <c r="M245" s="14" t="s">
        <v>312</v>
      </c>
      <c r="N245" s="14" t="s">
        <v>26</v>
      </c>
      <c r="O245" s="14" t="s">
        <v>348</v>
      </c>
      <c r="P245" s="14" t="s">
        <v>942</v>
      </c>
      <c r="Q245" s="57" t="str">
        <f>IF(COUNTIFS($E:$E,A245,$B:$B,"Sous-tâche")=0,"To Do",IF(COUNTIFS($E:$E,A245,$B:$B,"Sous-tâche",$Q:$Q,"Done")=COUNTIFS($E:$E,A245,$B:$B,"Sous-tâche"),"Done",IF(COUNTIFS($E:$E,A245,$B:$B,"Sous-tâche",$Q:$Q,"To Do")=COUNTIFS($E:$E,A245,$B:$B,"Sous-tâche"),"To Do","In Progress")))</f>
        <v>To Do</v>
      </c>
      <c r="R245" s="14" t="s">
        <v>943</v>
      </c>
    </row>
    <row r="246" spans="1:18" ht="15" customHeight="1">
      <c r="A246" s="70" t="s">
        <v>947</v>
      </c>
      <c r="B246" s="70" t="s">
        <v>299</v>
      </c>
      <c r="C246" s="14" t="s">
        <v>30</v>
      </c>
      <c r="D246" s="14" t="s">
        <v>939</v>
      </c>
      <c r="E246" s="14" t="s">
        <v>944</v>
      </c>
      <c r="F246" s="70" t="s">
        <v>948</v>
      </c>
      <c r="G246" s="14"/>
      <c r="H246" s="70" t="s">
        <v>15</v>
      </c>
      <c r="I246" s="14" t="s">
        <v>15</v>
      </c>
      <c r="J246" s="70" t="s">
        <v>16</v>
      </c>
      <c r="K246" s="59">
        <v>2</v>
      </c>
      <c r="L246" s="15"/>
      <c r="M246" s="14" t="s">
        <v>312</v>
      </c>
      <c r="N246" s="14" t="s">
        <v>26</v>
      </c>
      <c r="O246" s="14" t="s">
        <v>348</v>
      </c>
      <c r="P246" s="14"/>
      <c r="Q246" s="14" t="s">
        <v>315</v>
      </c>
      <c r="R246" s="14" t="s">
        <v>943</v>
      </c>
    </row>
    <row r="247" spans="1:18" ht="15" customHeight="1">
      <c r="A247" s="70" t="s">
        <v>949</v>
      </c>
      <c r="B247" s="70" t="s">
        <v>299</v>
      </c>
      <c r="C247" s="14" t="s">
        <v>30</v>
      </c>
      <c r="D247" s="14" t="s">
        <v>939</v>
      </c>
      <c r="E247" s="14" t="s">
        <v>944</v>
      </c>
      <c r="F247" s="70" t="s">
        <v>950</v>
      </c>
      <c r="G247" s="14"/>
      <c r="H247" s="70" t="s">
        <v>15</v>
      </c>
      <c r="I247" s="14" t="s">
        <v>15</v>
      </c>
      <c r="J247" s="70" t="s">
        <v>16</v>
      </c>
      <c r="K247" s="59">
        <v>2</v>
      </c>
      <c r="L247" s="15"/>
      <c r="M247" s="14" t="s">
        <v>312</v>
      </c>
      <c r="N247" s="14" t="s">
        <v>26</v>
      </c>
      <c r="O247" s="14" t="s">
        <v>348</v>
      </c>
      <c r="P247" s="14"/>
      <c r="Q247" s="14" t="s">
        <v>315</v>
      </c>
      <c r="R247" s="14" t="s">
        <v>943</v>
      </c>
    </row>
    <row r="248" spans="1:18" ht="15" customHeight="1">
      <c r="A248" s="70" t="s">
        <v>951</v>
      </c>
      <c r="B248" s="70" t="s">
        <v>299</v>
      </c>
      <c r="C248" s="14" t="s">
        <v>30</v>
      </c>
      <c r="D248" s="14" t="s">
        <v>939</v>
      </c>
      <c r="E248" s="14" t="s">
        <v>944</v>
      </c>
      <c r="F248" s="70" t="s">
        <v>952</v>
      </c>
      <c r="G248" s="14"/>
      <c r="H248" s="70" t="s">
        <v>15</v>
      </c>
      <c r="I248" s="14" t="s">
        <v>15</v>
      </c>
      <c r="J248" s="70" t="s">
        <v>16</v>
      </c>
      <c r="K248" s="59">
        <v>1</v>
      </c>
      <c r="L248" s="15"/>
      <c r="M248" s="14" t="s">
        <v>312</v>
      </c>
      <c r="N248" s="14" t="s">
        <v>26</v>
      </c>
      <c r="O248" s="14" t="s">
        <v>348</v>
      </c>
      <c r="P248" s="14"/>
      <c r="Q248" s="14" t="s">
        <v>315</v>
      </c>
      <c r="R248" s="14" t="s">
        <v>943</v>
      </c>
    </row>
    <row r="249" spans="1:18" ht="103.5" customHeight="1">
      <c r="A249" s="53" t="s">
        <v>953</v>
      </c>
      <c r="B249" s="54" t="s">
        <v>293</v>
      </c>
      <c r="C249" s="14" t="s">
        <v>30</v>
      </c>
      <c r="D249" s="14" t="s">
        <v>939</v>
      </c>
      <c r="E249" s="14" t="s">
        <v>939</v>
      </c>
      <c r="F249" s="53" t="s">
        <v>954</v>
      </c>
      <c r="G249" s="14" t="s">
        <v>955</v>
      </c>
      <c r="H249" s="54" t="s">
        <v>956</v>
      </c>
      <c r="I249" s="14" t="s">
        <v>956</v>
      </c>
      <c r="J249" s="14" t="s">
        <v>47</v>
      </c>
      <c r="K249" s="30">
        <f>SUMIFS($K:$K,$E:$E,A249,$B:$B,"Sous-tâche")</f>
        <v>6</v>
      </c>
      <c r="L249" s="55">
        <v>13</v>
      </c>
      <c r="M249" s="14" t="s">
        <v>312</v>
      </c>
      <c r="N249" s="14" t="s">
        <v>26</v>
      </c>
      <c r="O249" s="14" t="s">
        <v>348</v>
      </c>
      <c r="P249" s="14" t="s">
        <v>942</v>
      </c>
      <c r="Q249" s="57" t="str">
        <f>IF(COUNTIFS($E:$E,A249,$B:$B,"Sous-tâche")=0,"To Do",IF(COUNTIFS($E:$E,A249,$B:$B,"Sous-tâche",$Q:$Q,"Done")=COUNTIFS($E:$E,A249,$B:$B,"Sous-tâche"),"Done",IF(COUNTIFS($E:$E,A249,$B:$B,"Sous-tâche",$Q:$Q,"To Do")=COUNTIFS($E:$E,A249,$B:$B,"Sous-tâche"),"To Do","In Progress")))</f>
        <v>To Do</v>
      </c>
      <c r="R249" s="14" t="s">
        <v>943</v>
      </c>
    </row>
    <row r="250" spans="1:18" ht="15" customHeight="1">
      <c r="A250" s="62" t="s">
        <v>957</v>
      </c>
      <c r="B250" s="62" t="s">
        <v>299</v>
      </c>
      <c r="C250" s="14" t="s">
        <v>30</v>
      </c>
      <c r="D250" s="14" t="s">
        <v>939</v>
      </c>
      <c r="E250" s="14" t="s">
        <v>953</v>
      </c>
      <c r="F250" s="62" t="s">
        <v>958</v>
      </c>
      <c r="G250" s="14"/>
      <c r="H250" s="62" t="s">
        <v>17</v>
      </c>
      <c r="I250" s="14" t="s">
        <v>17</v>
      </c>
      <c r="J250" s="62" t="s">
        <v>18</v>
      </c>
      <c r="K250" s="59">
        <v>2</v>
      </c>
      <c r="L250" s="15"/>
      <c r="M250" s="14" t="s">
        <v>312</v>
      </c>
      <c r="N250" s="14" t="s">
        <v>26</v>
      </c>
      <c r="O250" s="14" t="s">
        <v>348</v>
      </c>
      <c r="P250" s="14"/>
      <c r="Q250" s="14" t="s">
        <v>315</v>
      </c>
      <c r="R250" s="14" t="s">
        <v>943</v>
      </c>
    </row>
    <row r="251" spans="1:18" ht="15" customHeight="1">
      <c r="A251" s="42" t="s">
        <v>959</v>
      </c>
      <c r="B251" s="42" t="s">
        <v>299</v>
      </c>
      <c r="C251" s="14" t="s">
        <v>30</v>
      </c>
      <c r="D251" s="14" t="s">
        <v>939</v>
      </c>
      <c r="E251" s="14" t="s">
        <v>953</v>
      </c>
      <c r="F251" s="42" t="s">
        <v>960</v>
      </c>
      <c r="G251" s="14"/>
      <c r="H251" s="42" t="s">
        <v>13</v>
      </c>
      <c r="I251" s="14" t="s">
        <v>13</v>
      </c>
      <c r="J251" s="42" t="s">
        <v>47</v>
      </c>
      <c r="K251" s="59">
        <v>2</v>
      </c>
      <c r="L251" s="15"/>
      <c r="M251" s="14" t="s">
        <v>312</v>
      </c>
      <c r="N251" s="14" t="s">
        <v>26</v>
      </c>
      <c r="O251" s="14" t="s">
        <v>348</v>
      </c>
      <c r="P251" s="14"/>
      <c r="Q251" s="14" t="s">
        <v>315</v>
      </c>
      <c r="R251" s="14" t="s">
        <v>943</v>
      </c>
    </row>
    <row r="252" spans="1:18" ht="15" customHeight="1">
      <c r="A252" s="70" t="s">
        <v>961</v>
      </c>
      <c r="B252" s="70" t="s">
        <v>299</v>
      </c>
      <c r="C252" s="14" t="s">
        <v>30</v>
      </c>
      <c r="D252" s="14" t="s">
        <v>939</v>
      </c>
      <c r="E252" s="14" t="s">
        <v>953</v>
      </c>
      <c r="F252" s="70" t="s">
        <v>962</v>
      </c>
      <c r="G252" s="14"/>
      <c r="H252" s="70" t="s">
        <v>15</v>
      </c>
      <c r="I252" s="14" t="s">
        <v>15</v>
      </c>
      <c r="J252" s="70" t="s">
        <v>16</v>
      </c>
      <c r="K252" s="59">
        <v>2</v>
      </c>
      <c r="L252" s="15"/>
      <c r="M252" s="14" t="s">
        <v>312</v>
      </c>
      <c r="N252" s="14" t="s">
        <v>26</v>
      </c>
      <c r="O252" s="14" t="s">
        <v>348</v>
      </c>
      <c r="P252" s="14"/>
      <c r="Q252" s="14" t="s">
        <v>315</v>
      </c>
      <c r="R252" s="14" t="s">
        <v>943</v>
      </c>
    </row>
    <row r="253" spans="1:18" ht="30" customHeight="1">
      <c r="A253" s="23" t="s">
        <v>963</v>
      </c>
      <c r="B253" s="23" t="s">
        <v>286</v>
      </c>
      <c r="C253" s="23" t="s">
        <v>30</v>
      </c>
      <c r="D253" s="23" t="s">
        <v>963</v>
      </c>
      <c r="E253" s="23"/>
      <c r="F253" s="23" t="s">
        <v>964</v>
      </c>
      <c r="G253" s="23" t="s">
        <v>965</v>
      </c>
      <c r="H253" s="23"/>
      <c r="I253" s="23"/>
      <c r="J253" s="23"/>
      <c r="K253" s="67">
        <f>SUMIFS($K:$K,$D:$D,A253,$B:$B,"Sous-tâche")</f>
        <v>4</v>
      </c>
      <c r="L253" s="68">
        <f>SUMIFS($L:$L,$D:$D,A253,$B:$B,"Story")</f>
        <v>8</v>
      </c>
      <c r="M253" s="23" t="s">
        <v>312</v>
      </c>
      <c r="N253" s="23"/>
      <c r="O253" s="23"/>
      <c r="P253" s="23" t="s">
        <v>872</v>
      </c>
      <c r="Q253" s="69" t="str">
        <f>IF(COUNTIFS($D:$D,A253,$B:$B,"Sous-tâche")=0,"To Do",IF(COUNTIFS($D:$D,A253,$B:$B,"Sous-tâche",$Q:$Q,"Done")=COUNTIFS($D:$D,A253,$B:$B,"Sous-tâche"),"Done",IF(COUNTIFS($D:$D,A253,$B:$B,"Sous-tâche",$Q:$Q,"To Do")=COUNTIFS($D:$D,A253,$B:$B,"Sous-tâche"),"To Do","In Progress")))</f>
        <v>To Do</v>
      </c>
      <c r="R253" s="23" t="s">
        <v>966</v>
      </c>
    </row>
    <row r="254" spans="1:18" ht="103.5" customHeight="1">
      <c r="A254" s="53" t="s">
        <v>967</v>
      </c>
      <c r="B254" s="54" t="s">
        <v>293</v>
      </c>
      <c r="C254" s="14" t="s">
        <v>30</v>
      </c>
      <c r="D254" s="14" t="s">
        <v>963</v>
      </c>
      <c r="E254" s="14" t="s">
        <v>963</v>
      </c>
      <c r="F254" s="53" t="s">
        <v>968</v>
      </c>
      <c r="G254" s="14" t="s">
        <v>969</v>
      </c>
      <c r="H254" s="54" t="s">
        <v>842</v>
      </c>
      <c r="I254" s="14" t="s">
        <v>842</v>
      </c>
      <c r="J254" s="14" t="s">
        <v>16</v>
      </c>
      <c r="K254" s="30">
        <f>SUMIFS($K:$K,$E:$E,A254,$B:$B,"Sous-tâche")</f>
        <v>4</v>
      </c>
      <c r="L254" s="55">
        <v>8</v>
      </c>
      <c r="M254" s="14" t="s">
        <v>312</v>
      </c>
      <c r="N254" s="14" t="s">
        <v>26</v>
      </c>
      <c r="O254" s="14" t="s">
        <v>348</v>
      </c>
      <c r="P254" s="14" t="s">
        <v>872</v>
      </c>
      <c r="Q254" s="57" t="str">
        <f>IF(COUNTIFS($E:$E,A254,$B:$B,"Sous-tâche")=0,"To Do",IF(COUNTIFS($E:$E,A254,$B:$B,"Sous-tâche",$Q:$Q,"Done")=COUNTIFS($E:$E,A254,$B:$B,"Sous-tâche"),"Done",IF(COUNTIFS($E:$E,A254,$B:$B,"Sous-tâche",$Q:$Q,"To Do")=COUNTIFS($E:$E,A254,$B:$B,"Sous-tâche"),"To Do","In Progress")))</f>
        <v>To Do</v>
      </c>
      <c r="R254" s="14" t="s">
        <v>966</v>
      </c>
    </row>
    <row r="255" spans="1:18" ht="15" customHeight="1">
      <c r="A255" s="70" t="s">
        <v>970</v>
      </c>
      <c r="B255" s="70" t="s">
        <v>299</v>
      </c>
      <c r="C255" s="14" t="s">
        <v>30</v>
      </c>
      <c r="D255" s="14" t="s">
        <v>963</v>
      </c>
      <c r="E255" s="14" t="s">
        <v>967</v>
      </c>
      <c r="F255" s="70" t="s">
        <v>971</v>
      </c>
      <c r="G255" s="14"/>
      <c r="H255" s="70" t="s">
        <v>15</v>
      </c>
      <c r="I255" s="14" t="s">
        <v>15</v>
      </c>
      <c r="J255" s="70" t="s">
        <v>16</v>
      </c>
      <c r="K255" s="59">
        <v>1.5</v>
      </c>
      <c r="L255" s="15"/>
      <c r="M255" s="14" t="s">
        <v>312</v>
      </c>
      <c r="N255" s="14" t="s">
        <v>26</v>
      </c>
      <c r="O255" s="14" t="s">
        <v>348</v>
      </c>
      <c r="P255" s="14"/>
      <c r="Q255" s="14" t="s">
        <v>315</v>
      </c>
      <c r="R255" s="14" t="s">
        <v>966</v>
      </c>
    </row>
    <row r="256" spans="1:18" ht="15" customHeight="1">
      <c r="A256" s="70" t="s">
        <v>972</v>
      </c>
      <c r="B256" s="70" t="s">
        <v>299</v>
      </c>
      <c r="C256" s="14" t="s">
        <v>30</v>
      </c>
      <c r="D256" s="14" t="s">
        <v>963</v>
      </c>
      <c r="E256" s="14" t="s">
        <v>967</v>
      </c>
      <c r="F256" s="70" t="s">
        <v>973</v>
      </c>
      <c r="G256" s="14"/>
      <c r="H256" s="70" t="s">
        <v>15</v>
      </c>
      <c r="I256" s="14" t="s">
        <v>15</v>
      </c>
      <c r="J256" s="70" t="s">
        <v>16</v>
      </c>
      <c r="K256" s="59">
        <v>1</v>
      </c>
      <c r="L256" s="15"/>
      <c r="M256" s="14" t="s">
        <v>312</v>
      </c>
      <c r="N256" s="14" t="s">
        <v>26</v>
      </c>
      <c r="O256" s="14" t="s">
        <v>348</v>
      </c>
      <c r="P256" s="14"/>
      <c r="Q256" s="14" t="s">
        <v>315</v>
      </c>
      <c r="R256" s="14" t="s">
        <v>966</v>
      </c>
    </row>
    <row r="257" spans="1:20" ht="15" customHeight="1">
      <c r="A257" s="42" t="s">
        <v>974</v>
      </c>
      <c r="B257" s="42" t="s">
        <v>299</v>
      </c>
      <c r="C257" s="14" t="s">
        <v>30</v>
      </c>
      <c r="D257" s="14" t="s">
        <v>963</v>
      </c>
      <c r="E257" s="14" t="s">
        <v>967</v>
      </c>
      <c r="F257" s="42" t="s">
        <v>975</v>
      </c>
      <c r="G257" s="14"/>
      <c r="H257" s="42" t="s">
        <v>13</v>
      </c>
      <c r="I257" s="14" t="s">
        <v>13</v>
      </c>
      <c r="J257" s="42" t="s">
        <v>47</v>
      </c>
      <c r="K257" s="59">
        <v>1</v>
      </c>
      <c r="L257" s="15"/>
      <c r="M257" s="14" t="s">
        <v>312</v>
      </c>
      <c r="N257" s="14" t="s">
        <v>26</v>
      </c>
      <c r="O257" s="14" t="s">
        <v>348</v>
      </c>
      <c r="P257" s="14"/>
      <c r="Q257" s="14" t="s">
        <v>315</v>
      </c>
      <c r="R257" s="14" t="s">
        <v>966</v>
      </c>
    </row>
    <row r="258" spans="1:20" ht="15" customHeight="1">
      <c r="A258" s="70" t="s">
        <v>976</v>
      </c>
      <c r="B258" s="70" t="s">
        <v>299</v>
      </c>
      <c r="C258" s="14" t="s">
        <v>30</v>
      </c>
      <c r="D258" s="14" t="s">
        <v>963</v>
      </c>
      <c r="E258" s="14" t="s">
        <v>967</v>
      </c>
      <c r="F258" s="70" t="s">
        <v>977</v>
      </c>
      <c r="G258" s="14"/>
      <c r="H258" s="70" t="s">
        <v>15</v>
      </c>
      <c r="I258" s="14" t="s">
        <v>15</v>
      </c>
      <c r="J258" s="70" t="s">
        <v>16</v>
      </c>
      <c r="K258" s="59">
        <v>0.5</v>
      </c>
      <c r="L258" s="15"/>
      <c r="M258" s="14" t="s">
        <v>312</v>
      </c>
      <c r="N258" s="14" t="s">
        <v>26</v>
      </c>
      <c r="O258" s="14" t="s">
        <v>348</v>
      </c>
      <c r="P258" s="14"/>
      <c r="Q258" s="14" t="s">
        <v>315</v>
      </c>
      <c r="R258" s="14" t="s">
        <v>966</v>
      </c>
    </row>
    <row r="259" spans="1:20" ht="30" customHeight="1">
      <c r="A259" s="23" t="s">
        <v>978</v>
      </c>
      <c r="B259" s="23" t="s">
        <v>286</v>
      </c>
      <c r="C259" s="23" t="s">
        <v>30</v>
      </c>
      <c r="D259" s="23" t="s">
        <v>978</v>
      </c>
      <c r="E259" s="23"/>
      <c r="F259" s="23" t="s">
        <v>979</v>
      </c>
      <c r="G259" s="23" t="s">
        <v>980</v>
      </c>
      <c r="H259" s="23"/>
      <c r="I259" s="23"/>
      <c r="J259" s="23"/>
      <c r="K259" s="67">
        <f>SUMIFS($K:$K,$D:$D,A259,$B:$B,"Sous-tâche")</f>
        <v>24</v>
      </c>
      <c r="L259" s="68">
        <f>SUMIFS($L:$L,$D:$D,A259,$B:$B,"Story")</f>
        <v>42</v>
      </c>
      <c r="M259" s="23" t="s">
        <v>312</v>
      </c>
      <c r="N259" s="23"/>
      <c r="O259" s="23"/>
      <c r="P259" s="23" t="s">
        <v>981</v>
      </c>
      <c r="Q259" s="69" t="str">
        <f>IF(COUNTIFS($D:$D,A259,$B:$B,"Sous-tâche")=0,"To Do",IF(COUNTIFS($D:$D,A259,$B:$B,"Sous-tâche",$Q:$Q,"Done")=COUNTIFS($D:$D,A259,$B:$B,"Sous-tâche"),"Done",IF(COUNTIFS($D:$D,A259,$B:$B,"Sous-tâche",$Q:$Q,"To Do")=COUNTIFS($D:$D,A259,$B:$B,"Sous-tâche"),"To Do","In Progress")))</f>
        <v>In Progress</v>
      </c>
      <c r="R259" s="23" t="s">
        <v>982</v>
      </c>
    </row>
    <row r="260" spans="1:20" ht="90.75" customHeight="1">
      <c r="A260" s="53" t="s">
        <v>983</v>
      </c>
      <c r="B260" s="54" t="s">
        <v>293</v>
      </c>
      <c r="C260" s="14" t="s">
        <v>30</v>
      </c>
      <c r="D260" s="14" t="s">
        <v>978</v>
      </c>
      <c r="E260" s="14" t="s">
        <v>978</v>
      </c>
      <c r="F260" s="53" t="s">
        <v>984</v>
      </c>
      <c r="G260" s="14" t="s">
        <v>985</v>
      </c>
      <c r="H260" s="54" t="s">
        <v>421</v>
      </c>
      <c r="I260" s="14" t="s">
        <v>421</v>
      </c>
      <c r="J260" s="14" t="s">
        <v>18</v>
      </c>
      <c r="K260" s="30">
        <f>SUMIFS($K:$K,$E:$E,A260,$B:$B,"Sous-tâche")</f>
        <v>8</v>
      </c>
      <c r="L260" s="55">
        <v>13</v>
      </c>
      <c r="M260" s="14" t="s">
        <v>312</v>
      </c>
      <c r="N260" s="14" t="s">
        <v>26</v>
      </c>
      <c r="O260" s="14" t="s">
        <v>348</v>
      </c>
      <c r="P260" s="14" t="s">
        <v>981</v>
      </c>
      <c r="Q260" s="57" t="str">
        <f>IF(COUNTIFS($E:$E,A260,$B:$B,"Sous-tâche")=0,"To Do",IF(COUNTIFS($E:$E,A260,$B:$B,"Sous-tâche",$Q:$Q,"Done")=COUNTIFS($E:$E,A260,$B:$B,"Sous-tâche"),"Done",IF(COUNTIFS($E:$E,A260,$B:$B,"Sous-tâche",$Q:$Q,"To Do")=COUNTIFS($E:$E,A260,$B:$B,"Sous-tâche"),"To Do","In Progress")))</f>
        <v>To Do</v>
      </c>
      <c r="R260" s="14" t="s">
        <v>982</v>
      </c>
    </row>
    <row r="261" spans="1:20" ht="15" customHeight="1">
      <c r="A261" s="62" t="s">
        <v>986</v>
      </c>
      <c r="B261" s="62" t="s">
        <v>299</v>
      </c>
      <c r="C261" s="14" t="s">
        <v>30</v>
      </c>
      <c r="D261" s="14" t="s">
        <v>978</v>
      </c>
      <c r="E261" s="14" t="s">
        <v>983</v>
      </c>
      <c r="F261" s="62" t="s">
        <v>987</v>
      </c>
      <c r="G261" s="14"/>
      <c r="H261" s="62" t="s">
        <v>17</v>
      </c>
      <c r="I261" s="14" t="s">
        <v>17</v>
      </c>
      <c r="J261" s="62" t="s">
        <v>18</v>
      </c>
      <c r="K261" s="59">
        <v>3</v>
      </c>
      <c r="L261" s="15"/>
      <c r="M261" s="14" t="s">
        <v>312</v>
      </c>
      <c r="N261" s="14" t="s">
        <v>26</v>
      </c>
      <c r="O261" s="14" t="s">
        <v>348</v>
      </c>
      <c r="P261" s="14"/>
      <c r="Q261" s="14" t="s">
        <v>315</v>
      </c>
      <c r="R261" s="14" t="s">
        <v>982</v>
      </c>
    </row>
    <row r="262" spans="1:20" ht="15" customHeight="1">
      <c r="A262" s="62" t="s">
        <v>988</v>
      </c>
      <c r="B262" s="62" t="s">
        <v>299</v>
      </c>
      <c r="C262" s="14" t="s">
        <v>30</v>
      </c>
      <c r="D262" s="14" t="s">
        <v>978</v>
      </c>
      <c r="E262" s="14" t="s">
        <v>983</v>
      </c>
      <c r="F262" s="62" t="s">
        <v>989</v>
      </c>
      <c r="G262" s="14"/>
      <c r="H262" s="62" t="s">
        <v>17</v>
      </c>
      <c r="I262" s="14" t="s">
        <v>17</v>
      </c>
      <c r="J262" s="62" t="s">
        <v>18</v>
      </c>
      <c r="K262" s="59">
        <v>3</v>
      </c>
      <c r="L262" s="15"/>
      <c r="M262" s="14" t="s">
        <v>312</v>
      </c>
      <c r="N262" s="14" t="s">
        <v>26</v>
      </c>
      <c r="O262" s="14" t="s">
        <v>348</v>
      </c>
      <c r="P262" s="14"/>
      <c r="Q262" s="14" t="s">
        <v>315</v>
      </c>
      <c r="R262" s="14" t="s">
        <v>982</v>
      </c>
    </row>
    <row r="263" spans="1:20" ht="15" customHeight="1">
      <c r="A263" s="42" t="s">
        <v>990</v>
      </c>
      <c r="B263" s="42" t="s">
        <v>299</v>
      </c>
      <c r="C263" s="14" t="s">
        <v>30</v>
      </c>
      <c r="D263" s="14" t="s">
        <v>978</v>
      </c>
      <c r="E263" s="14" t="s">
        <v>983</v>
      </c>
      <c r="F263" s="42" t="s">
        <v>991</v>
      </c>
      <c r="G263" s="14"/>
      <c r="H263" s="42" t="s">
        <v>13</v>
      </c>
      <c r="I263" s="14" t="s">
        <v>13</v>
      </c>
      <c r="J263" s="42" t="s">
        <v>47</v>
      </c>
      <c r="K263" s="59">
        <v>2</v>
      </c>
      <c r="L263" s="15"/>
      <c r="M263" s="14" t="s">
        <v>312</v>
      </c>
      <c r="N263" s="14" t="s">
        <v>26</v>
      </c>
      <c r="O263" s="14" t="s">
        <v>348</v>
      </c>
      <c r="P263" s="14"/>
      <c r="Q263" s="14" t="s">
        <v>315</v>
      </c>
      <c r="R263" s="14" t="s">
        <v>982</v>
      </c>
    </row>
    <row r="264" spans="1:20" ht="90.75" customHeight="1">
      <c r="A264" s="53" t="s">
        <v>992</v>
      </c>
      <c r="B264" s="54" t="s">
        <v>293</v>
      </c>
      <c r="C264" s="14" t="s">
        <v>30</v>
      </c>
      <c r="D264" s="14" t="s">
        <v>978</v>
      </c>
      <c r="E264" s="14" t="s">
        <v>978</v>
      </c>
      <c r="F264" s="53" t="s">
        <v>993</v>
      </c>
      <c r="G264" s="14" t="s">
        <v>994</v>
      </c>
      <c r="H264" s="54" t="s">
        <v>956</v>
      </c>
      <c r="I264" s="14" t="s">
        <v>956</v>
      </c>
      <c r="J264" s="14" t="s">
        <v>16</v>
      </c>
      <c r="K264" s="30">
        <f>SUMIFS($K:$K,$E:$E,A264,$B:$B,"Sous-tâche")</f>
        <v>6</v>
      </c>
      <c r="L264" s="55">
        <v>13</v>
      </c>
      <c r="M264" s="14" t="s">
        <v>312</v>
      </c>
      <c r="N264" s="14" t="s">
        <v>26</v>
      </c>
      <c r="O264" s="14" t="s">
        <v>348</v>
      </c>
      <c r="P264" s="14" t="s">
        <v>981</v>
      </c>
      <c r="Q264" s="57" t="str">
        <f>IF(COUNTIFS($E:$E,A264,$B:$B,"Sous-tâche")=0,"To Do",IF(COUNTIFS($E:$E,A264,$B:$B,"Sous-tâche",$Q:$Q,"Done")=COUNTIFS($E:$E,A264,$B:$B,"Sous-tâche"),"Done",IF(COUNTIFS($E:$E,A264,$B:$B,"Sous-tâche",$Q:$Q,"To Do")=COUNTIFS($E:$E,A264,$B:$B,"Sous-tâche"),"To Do","In Progress")))</f>
        <v>In Progress</v>
      </c>
      <c r="R264" s="14" t="s">
        <v>982</v>
      </c>
    </row>
    <row r="265" spans="1:20" ht="15" customHeight="1">
      <c r="A265" s="62" t="s">
        <v>995</v>
      </c>
      <c r="B265" s="62" t="s">
        <v>299</v>
      </c>
      <c r="C265" s="14" t="s">
        <v>30</v>
      </c>
      <c r="D265" s="14" t="s">
        <v>978</v>
      </c>
      <c r="E265" s="14" t="s">
        <v>992</v>
      </c>
      <c r="F265" s="62" t="s">
        <v>996</v>
      </c>
      <c r="G265" s="14"/>
      <c r="H265" s="62" t="s">
        <v>17</v>
      </c>
      <c r="I265" s="14" t="s">
        <v>17</v>
      </c>
      <c r="J265" s="62" t="s">
        <v>18</v>
      </c>
      <c r="K265" s="59">
        <v>2</v>
      </c>
      <c r="L265" s="15"/>
      <c r="M265" s="14" t="s">
        <v>312</v>
      </c>
      <c r="N265" s="14" t="s">
        <v>26</v>
      </c>
      <c r="O265" s="14" t="s">
        <v>348</v>
      </c>
      <c r="P265" s="14"/>
      <c r="Q265" s="14" t="s">
        <v>315</v>
      </c>
      <c r="R265" s="14" t="s">
        <v>982</v>
      </c>
    </row>
    <row r="266" spans="1:20" ht="15" customHeight="1">
      <c r="A266" s="70" t="s">
        <v>997</v>
      </c>
      <c r="B266" s="70" t="s">
        <v>299</v>
      </c>
      <c r="C266" s="14" t="s">
        <v>30</v>
      </c>
      <c r="D266" s="14" t="s">
        <v>978</v>
      </c>
      <c r="E266" s="14" t="s">
        <v>992</v>
      </c>
      <c r="F266" s="70" t="s">
        <v>998</v>
      </c>
      <c r="G266" s="14"/>
      <c r="H266" s="70" t="s">
        <v>15</v>
      </c>
      <c r="I266" s="14" t="s">
        <v>15</v>
      </c>
      <c r="J266" s="70" t="s">
        <v>16</v>
      </c>
      <c r="K266" s="59">
        <v>2.5</v>
      </c>
      <c r="L266" s="15"/>
      <c r="M266" s="14" t="s">
        <v>312</v>
      </c>
      <c r="N266" s="14" t="s">
        <v>26</v>
      </c>
      <c r="O266" s="14" t="s">
        <v>348</v>
      </c>
      <c r="P266" s="14"/>
      <c r="Q266" s="14" t="s">
        <v>315</v>
      </c>
      <c r="R266" s="14" t="s">
        <v>982</v>
      </c>
    </row>
    <row r="267" spans="1:20" ht="15" customHeight="1">
      <c r="A267" s="42" t="s">
        <v>999</v>
      </c>
      <c r="B267" s="42" t="s">
        <v>299</v>
      </c>
      <c r="C267" s="14" t="s">
        <v>30</v>
      </c>
      <c r="D267" s="14" t="s">
        <v>978</v>
      </c>
      <c r="E267" s="14" t="s">
        <v>992</v>
      </c>
      <c r="F267" s="42" t="s">
        <v>1000</v>
      </c>
      <c r="G267" s="14"/>
      <c r="H267" s="42" t="s">
        <v>13</v>
      </c>
      <c r="I267" s="14" t="s">
        <v>13</v>
      </c>
      <c r="J267" s="42" t="s">
        <v>47</v>
      </c>
      <c r="K267" s="59">
        <v>1.5</v>
      </c>
      <c r="L267" s="15"/>
      <c r="M267" s="14" t="s">
        <v>312</v>
      </c>
      <c r="N267" s="14" t="s">
        <v>26</v>
      </c>
      <c r="O267" s="14" t="s">
        <v>348</v>
      </c>
      <c r="P267" s="14"/>
      <c r="Q267" s="60" t="s">
        <v>301</v>
      </c>
      <c r="R267" s="14" t="s">
        <v>982</v>
      </c>
      <c r="S267" s="14" t="s">
        <v>45</v>
      </c>
      <c r="T267" s="14" t="s">
        <v>1001</v>
      </c>
    </row>
    <row r="268" spans="1:20" ht="90.75" customHeight="1">
      <c r="A268" s="53" t="s">
        <v>1002</v>
      </c>
      <c r="B268" s="54" t="s">
        <v>293</v>
      </c>
      <c r="C268" s="14" t="s">
        <v>30</v>
      </c>
      <c r="D268" s="14" t="s">
        <v>978</v>
      </c>
      <c r="E268" s="14" t="s">
        <v>978</v>
      </c>
      <c r="F268" s="53" t="s">
        <v>1003</v>
      </c>
      <c r="G268" s="14" t="s">
        <v>1004</v>
      </c>
      <c r="H268" s="54" t="s">
        <v>17</v>
      </c>
      <c r="I268" s="14" t="s">
        <v>17</v>
      </c>
      <c r="J268" s="14" t="s">
        <v>18</v>
      </c>
      <c r="K268" s="30">
        <f>SUMIFS($K:$K,$E:$E,A268,$B:$B,"Sous-tâche")</f>
        <v>5</v>
      </c>
      <c r="L268" s="55">
        <v>8</v>
      </c>
      <c r="M268" s="14" t="s">
        <v>289</v>
      </c>
      <c r="N268" s="14" t="s">
        <v>254</v>
      </c>
      <c r="O268" s="14" t="s">
        <v>348</v>
      </c>
      <c r="P268" s="14" t="s">
        <v>981</v>
      </c>
      <c r="Q268" s="57" t="str">
        <f>IF(COUNTIFS($E:$E,A268,$B:$B,"Sous-tâche")=0,"To Do",IF(COUNTIFS($E:$E,A268,$B:$B,"Sous-tâche",$Q:$Q,"Done")=COUNTIFS($E:$E,A268,$B:$B,"Sous-tâche"),"Done",IF(COUNTIFS($E:$E,A268,$B:$B,"Sous-tâche",$Q:$Q,"To Do")=COUNTIFS($E:$E,A268,$B:$B,"Sous-tâche"),"To Do","In Progress")))</f>
        <v>To Do</v>
      </c>
      <c r="R268" s="14" t="s">
        <v>982</v>
      </c>
    </row>
    <row r="269" spans="1:20" ht="15" customHeight="1">
      <c r="A269" s="62" t="s">
        <v>1005</v>
      </c>
      <c r="B269" s="62" t="s">
        <v>299</v>
      </c>
      <c r="C269" s="14" t="s">
        <v>30</v>
      </c>
      <c r="D269" s="14" t="s">
        <v>978</v>
      </c>
      <c r="E269" s="14" t="s">
        <v>1002</v>
      </c>
      <c r="F269" s="62" t="s">
        <v>1006</v>
      </c>
      <c r="G269" s="14"/>
      <c r="H269" s="62" t="s">
        <v>17</v>
      </c>
      <c r="I269" s="14" t="s">
        <v>17</v>
      </c>
      <c r="J269" s="62" t="s">
        <v>18</v>
      </c>
      <c r="K269" s="59">
        <v>3</v>
      </c>
      <c r="L269" s="15"/>
      <c r="M269" s="14" t="s">
        <v>289</v>
      </c>
      <c r="N269" s="14" t="s">
        <v>254</v>
      </c>
      <c r="O269" s="14" t="s">
        <v>348</v>
      </c>
      <c r="P269" s="14"/>
      <c r="Q269" s="14" t="s">
        <v>315</v>
      </c>
      <c r="R269" s="14" t="s">
        <v>982</v>
      </c>
    </row>
    <row r="270" spans="1:20" ht="15" customHeight="1">
      <c r="A270" s="62" t="s">
        <v>1007</v>
      </c>
      <c r="B270" s="62" t="s">
        <v>299</v>
      </c>
      <c r="C270" s="14" t="s">
        <v>30</v>
      </c>
      <c r="D270" s="14" t="s">
        <v>978</v>
      </c>
      <c r="E270" s="14" t="s">
        <v>1002</v>
      </c>
      <c r="F270" s="62" t="s">
        <v>1008</v>
      </c>
      <c r="G270" s="14"/>
      <c r="H270" s="62" t="s">
        <v>17</v>
      </c>
      <c r="I270" s="14" t="s">
        <v>17</v>
      </c>
      <c r="J270" s="62" t="s">
        <v>18</v>
      </c>
      <c r="K270" s="59">
        <v>1</v>
      </c>
      <c r="L270" s="15"/>
      <c r="M270" s="14" t="s">
        <v>289</v>
      </c>
      <c r="N270" s="14" t="s">
        <v>254</v>
      </c>
      <c r="O270" s="14" t="s">
        <v>348</v>
      </c>
      <c r="P270" s="14"/>
      <c r="Q270" s="14" t="s">
        <v>315</v>
      </c>
      <c r="R270" s="14" t="s">
        <v>982</v>
      </c>
    </row>
    <row r="271" spans="1:20" ht="15" customHeight="1">
      <c r="A271" s="62" t="s">
        <v>1009</v>
      </c>
      <c r="B271" s="62" t="s">
        <v>299</v>
      </c>
      <c r="C271" s="14" t="s">
        <v>30</v>
      </c>
      <c r="D271" s="14" t="s">
        <v>978</v>
      </c>
      <c r="E271" s="14" t="s">
        <v>1002</v>
      </c>
      <c r="F271" s="62" t="s">
        <v>1010</v>
      </c>
      <c r="G271" s="14"/>
      <c r="H271" s="62" t="s">
        <v>17</v>
      </c>
      <c r="I271" s="14" t="s">
        <v>17</v>
      </c>
      <c r="J271" s="62" t="s">
        <v>18</v>
      </c>
      <c r="K271" s="59">
        <v>1</v>
      </c>
      <c r="L271" s="15"/>
      <c r="M271" s="14" t="s">
        <v>289</v>
      </c>
      <c r="N271" s="14" t="s">
        <v>254</v>
      </c>
      <c r="O271" s="14" t="s">
        <v>348</v>
      </c>
      <c r="P271" s="14"/>
      <c r="Q271" s="14" t="s">
        <v>315</v>
      </c>
      <c r="R271" s="14" t="s">
        <v>982</v>
      </c>
    </row>
    <row r="272" spans="1:20" ht="90.75" customHeight="1">
      <c r="A272" s="53" t="s">
        <v>1011</v>
      </c>
      <c r="B272" s="54" t="s">
        <v>293</v>
      </c>
      <c r="C272" s="14" t="s">
        <v>30</v>
      </c>
      <c r="D272" s="14" t="s">
        <v>978</v>
      </c>
      <c r="E272" s="14" t="s">
        <v>978</v>
      </c>
      <c r="F272" s="53" t="s">
        <v>1012</v>
      </c>
      <c r="G272" s="14" t="s">
        <v>1013</v>
      </c>
      <c r="H272" s="54" t="s">
        <v>421</v>
      </c>
      <c r="I272" s="14" t="s">
        <v>421</v>
      </c>
      <c r="J272" s="14" t="s">
        <v>18</v>
      </c>
      <c r="K272" s="30">
        <f>SUMIFS($K:$K,$E:$E,A272,$B:$B,"Sous-tâche")</f>
        <v>5</v>
      </c>
      <c r="L272" s="55">
        <v>8</v>
      </c>
      <c r="M272" s="14" t="s">
        <v>289</v>
      </c>
      <c r="N272" s="14" t="s">
        <v>254</v>
      </c>
      <c r="O272" s="14" t="s">
        <v>348</v>
      </c>
      <c r="P272" s="14" t="s">
        <v>981</v>
      </c>
      <c r="Q272" s="57" t="str">
        <f>IF(COUNTIFS($E:$E,A272,$B:$B,"Sous-tâche")=0,"To Do",IF(COUNTIFS($E:$E,A272,$B:$B,"Sous-tâche",$Q:$Q,"Done")=COUNTIFS($E:$E,A272,$B:$B,"Sous-tâche"),"Done",IF(COUNTIFS($E:$E,A272,$B:$B,"Sous-tâche",$Q:$Q,"To Do")=COUNTIFS($E:$E,A272,$B:$B,"Sous-tâche"),"To Do","In Progress")))</f>
        <v>To Do</v>
      </c>
      <c r="R272" s="14" t="s">
        <v>982</v>
      </c>
    </row>
    <row r="273" spans="1:20" ht="15" customHeight="1">
      <c r="A273" s="62" t="s">
        <v>1014</v>
      </c>
      <c r="B273" s="62" t="s">
        <v>299</v>
      </c>
      <c r="C273" s="14" t="s">
        <v>30</v>
      </c>
      <c r="D273" s="14" t="s">
        <v>978</v>
      </c>
      <c r="E273" s="14" t="s">
        <v>1011</v>
      </c>
      <c r="F273" s="62" t="s">
        <v>1015</v>
      </c>
      <c r="G273" s="14"/>
      <c r="H273" s="62" t="s">
        <v>17</v>
      </c>
      <c r="I273" s="14" t="s">
        <v>17</v>
      </c>
      <c r="J273" s="62" t="s">
        <v>18</v>
      </c>
      <c r="K273" s="59">
        <v>2</v>
      </c>
      <c r="L273" s="15"/>
      <c r="M273" s="14" t="s">
        <v>289</v>
      </c>
      <c r="N273" s="14" t="s">
        <v>254</v>
      </c>
      <c r="O273" s="14" t="s">
        <v>348</v>
      </c>
      <c r="P273" s="14"/>
      <c r="Q273" s="14" t="s">
        <v>315</v>
      </c>
      <c r="R273" s="14" t="s">
        <v>982</v>
      </c>
    </row>
    <row r="274" spans="1:20" ht="15" customHeight="1">
      <c r="A274" s="62" t="s">
        <v>1016</v>
      </c>
      <c r="B274" s="62" t="s">
        <v>299</v>
      </c>
      <c r="C274" s="14" t="s">
        <v>30</v>
      </c>
      <c r="D274" s="14" t="s">
        <v>978</v>
      </c>
      <c r="E274" s="14" t="s">
        <v>1011</v>
      </c>
      <c r="F274" s="62" t="s">
        <v>1017</v>
      </c>
      <c r="G274" s="14"/>
      <c r="H274" s="62" t="s">
        <v>17</v>
      </c>
      <c r="I274" s="14" t="s">
        <v>17</v>
      </c>
      <c r="J274" s="62" t="s">
        <v>18</v>
      </c>
      <c r="K274" s="59">
        <v>2</v>
      </c>
      <c r="L274" s="15"/>
      <c r="M274" s="14" t="s">
        <v>289</v>
      </c>
      <c r="N274" s="14" t="s">
        <v>254</v>
      </c>
      <c r="O274" s="14" t="s">
        <v>348</v>
      </c>
      <c r="P274" s="14"/>
      <c r="Q274" s="14" t="s">
        <v>315</v>
      </c>
      <c r="R274" s="14" t="s">
        <v>982</v>
      </c>
    </row>
    <row r="275" spans="1:20" ht="15" customHeight="1">
      <c r="A275" s="42" t="s">
        <v>1018</v>
      </c>
      <c r="B275" s="42" t="s">
        <v>299</v>
      </c>
      <c r="C275" s="14" t="s">
        <v>30</v>
      </c>
      <c r="D275" s="14" t="s">
        <v>978</v>
      </c>
      <c r="E275" s="14" t="s">
        <v>1011</v>
      </c>
      <c r="F275" s="42" t="s">
        <v>1019</v>
      </c>
      <c r="G275" s="14"/>
      <c r="H275" s="42" t="s">
        <v>13</v>
      </c>
      <c r="I275" s="14" t="s">
        <v>13</v>
      </c>
      <c r="J275" s="42" t="s">
        <v>47</v>
      </c>
      <c r="K275" s="59">
        <v>1</v>
      </c>
      <c r="L275" s="15"/>
      <c r="M275" s="14" t="s">
        <v>289</v>
      </c>
      <c r="N275" s="14" t="s">
        <v>254</v>
      </c>
      <c r="O275" s="14" t="s">
        <v>348</v>
      </c>
      <c r="P275" s="14"/>
      <c r="Q275" s="14" t="s">
        <v>315</v>
      </c>
      <c r="R275" s="14" t="s">
        <v>982</v>
      </c>
    </row>
    <row r="276" spans="1:20" ht="30" customHeight="1">
      <c r="A276" s="23" t="s">
        <v>1020</v>
      </c>
      <c r="B276" s="23" t="s">
        <v>286</v>
      </c>
      <c r="C276" s="23" t="s">
        <v>30</v>
      </c>
      <c r="D276" s="23" t="s">
        <v>1020</v>
      </c>
      <c r="E276" s="23"/>
      <c r="F276" s="23" t="s">
        <v>1021</v>
      </c>
      <c r="G276" s="23" t="s">
        <v>1022</v>
      </c>
      <c r="H276" s="23"/>
      <c r="I276" s="23"/>
      <c r="J276" s="23"/>
      <c r="K276" s="67">
        <f>SUMIFS($K:$K,$D:$D,A276,$B:$B,"Sous-tâche")</f>
        <v>3</v>
      </c>
      <c r="L276" s="68">
        <f>SUMIFS($L:$L,$D:$D,A276,$B:$B,"Story")</f>
        <v>5</v>
      </c>
      <c r="M276" s="23" t="s">
        <v>652</v>
      </c>
      <c r="N276" s="23"/>
      <c r="O276" s="23"/>
      <c r="P276" s="23" t="s">
        <v>1023</v>
      </c>
      <c r="Q276" s="69" t="str">
        <f>IF(COUNTIFS($D:$D,A276,$B:$B,"Sous-tâche")=0,"To Do",IF(COUNTIFS($D:$D,A276,$B:$B,"Sous-tâche",$Q:$Q,"Done")=COUNTIFS($D:$D,A276,$B:$B,"Sous-tâche"),"Done",IF(COUNTIFS($D:$D,A276,$B:$B,"Sous-tâche",$Q:$Q,"To Do")=COUNTIFS($D:$D,A276,$B:$B,"Sous-tâche"),"To Do","In Progress")))</f>
        <v>To Do</v>
      </c>
      <c r="R276" s="23" t="s">
        <v>1024</v>
      </c>
    </row>
    <row r="277" spans="1:20" ht="90.75" customHeight="1">
      <c r="A277" s="53" t="s">
        <v>1025</v>
      </c>
      <c r="B277" s="54" t="s">
        <v>293</v>
      </c>
      <c r="C277" s="14" t="s">
        <v>30</v>
      </c>
      <c r="D277" s="14" t="s">
        <v>1020</v>
      </c>
      <c r="E277" s="14" t="s">
        <v>1020</v>
      </c>
      <c r="F277" s="53" t="s">
        <v>1026</v>
      </c>
      <c r="G277" s="14" t="s">
        <v>1027</v>
      </c>
      <c r="H277" s="54" t="s">
        <v>842</v>
      </c>
      <c r="I277" s="14" t="s">
        <v>842</v>
      </c>
      <c r="J277" s="14" t="s">
        <v>16</v>
      </c>
      <c r="K277" s="30">
        <f>SUMIFS($K:$K,$E:$E,A277,$B:$B,"Sous-tâche")</f>
        <v>2</v>
      </c>
      <c r="L277" s="55">
        <v>3</v>
      </c>
      <c r="M277" s="14" t="s">
        <v>652</v>
      </c>
      <c r="N277" s="14" t="s">
        <v>254</v>
      </c>
      <c r="O277" s="14" t="s">
        <v>348</v>
      </c>
      <c r="P277" s="14" t="s">
        <v>1023</v>
      </c>
      <c r="Q277" s="57" t="str">
        <f>IF(COUNTIFS($E:$E,A277,$B:$B,"Sous-tâche")=0,"To Do",IF(COUNTIFS($E:$E,A277,$B:$B,"Sous-tâche",$Q:$Q,"Done")=COUNTIFS($E:$E,A277,$B:$B,"Sous-tâche"),"Done",IF(COUNTIFS($E:$E,A277,$B:$B,"Sous-tâche",$Q:$Q,"To Do")=COUNTIFS($E:$E,A277,$B:$B,"Sous-tâche"),"To Do","In Progress")))</f>
        <v>To Do</v>
      </c>
      <c r="R277" s="14" t="s">
        <v>1024</v>
      </c>
    </row>
    <row r="278" spans="1:20" ht="15" customHeight="1">
      <c r="A278" s="70" t="s">
        <v>1028</v>
      </c>
      <c r="B278" s="70" t="s">
        <v>299</v>
      </c>
      <c r="C278" s="14" t="s">
        <v>30</v>
      </c>
      <c r="D278" s="14" t="s">
        <v>1020</v>
      </c>
      <c r="E278" s="14" t="s">
        <v>1025</v>
      </c>
      <c r="F278" s="70" t="s">
        <v>1029</v>
      </c>
      <c r="G278" s="14"/>
      <c r="H278" s="70" t="s">
        <v>15</v>
      </c>
      <c r="I278" s="14" t="s">
        <v>15</v>
      </c>
      <c r="J278" s="70" t="s">
        <v>16</v>
      </c>
      <c r="K278" s="59">
        <v>1.5</v>
      </c>
      <c r="L278" s="15"/>
      <c r="M278" s="14" t="s">
        <v>652</v>
      </c>
      <c r="N278" s="14" t="s">
        <v>254</v>
      </c>
      <c r="O278" s="14" t="s">
        <v>348</v>
      </c>
      <c r="P278" s="14"/>
      <c r="Q278" s="14" t="s">
        <v>315</v>
      </c>
      <c r="R278" s="14" t="s">
        <v>1024</v>
      </c>
    </row>
    <row r="279" spans="1:20" ht="15" customHeight="1">
      <c r="A279" s="42" t="s">
        <v>1030</v>
      </c>
      <c r="B279" s="42" t="s">
        <v>299</v>
      </c>
      <c r="C279" s="14" t="s">
        <v>30</v>
      </c>
      <c r="D279" s="14" t="s">
        <v>1020</v>
      </c>
      <c r="E279" s="14" t="s">
        <v>1025</v>
      </c>
      <c r="F279" s="42" t="s">
        <v>1031</v>
      </c>
      <c r="G279" s="14"/>
      <c r="H279" s="42" t="s">
        <v>13</v>
      </c>
      <c r="I279" s="14" t="s">
        <v>13</v>
      </c>
      <c r="J279" s="42" t="s">
        <v>47</v>
      </c>
      <c r="K279" s="59">
        <v>0.5</v>
      </c>
      <c r="L279" s="15"/>
      <c r="M279" s="14" t="s">
        <v>652</v>
      </c>
      <c r="N279" s="14" t="s">
        <v>254</v>
      </c>
      <c r="O279" s="14" t="s">
        <v>348</v>
      </c>
      <c r="P279" s="14"/>
      <c r="Q279" s="14" t="s">
        <v>315</v>
      </c>
      <c r="R279" s="14" t="s">
        <v>1024</v>
      </c>
    </row>
    <row r="280" spans="1:20" ht="78" customHeight="1">
      <c r="A280" s="53" t="s">
        <v>1032</v>
      </c>
      <c r="B280" s="54" t="s">
        <v>293</v>
      </c>
      <c r="C280" s="14" t="s">
        <v>30</v>
      </c>
      <c r="D280" s="14" t="s">
        <v>1020</v>
      </c>
      <c r="E280" s="14" t="s">
        <v>1020</v>
      </c>
      <c r="F280" s="53" t="s">
        <v>1033</v>
      </c>
      <c r="G280" s="14" t="s">
        <v>1034</v>
      </c>
      <c r="H280" s="54" t="s">
        <v>1035</v>
      </c>
      <c r="I280" s="14" t="s">
        <v>1035</v>
      </c>
      <c r="J280" s="14" t="s">
        <v>16</v>
      </c>
      <c r="K280" s="30">
        <f>SUMIFS($K:$K,$E:$E,A280,$B:$B,"Sous-tâche")</f>
        <v>1</v>
      </c>
      <c r="L280" s="55">
        <v>2</v>
      </c>
      <c r="M280" s="14" t="s">
        <v>652</v>
      </c>
      <c r="N280" s="14" t="s">
        <v>254</v>
      </c>
      <c r="O280" s="14" t="s">
        <v>348</v>
      </c>
      <c r="P280" s="14" t="s">
        <v>1023</v>
      </c>
      <c r="Q280" s="57" t="str">
        <f>IF(COUNTIFS($E:$E,A280,$B:$B,"Sous-tâche")=0,"To Do",IF(COUNTIFS($E:$E,A280,$B:$B,"Sous-tâche",$Q:$Q,"Done")=COUNTIFS($E:$E,A280,$B:$B,"Sous-tâche"),"Done",IF(COUNTIFS($E:$E,A280,$B:$B,"Sous-tâche",$Q:$Q,"To Do")=COUNTIFS($E:$E,A280,$B:$B,"Sous-tâche"),"To Do","In Progress")))</f>
        <v>To Do</v>
      </c>
      <c r="R280" s="14" t="s">
        <v>1024</v>
      </c>
    </row>
    <row r="281" spans="1:20" ht="15" customHeight="1">
      <c r="A281" s="70" t="s">
        <v>1036</v>
      </c>
      <c r="B281" s="70" t="s">
        <v>299</v>
      </c>
      <c r="C281" s="14" t="s">
        <v>30</v>
      </c>
      <c r="D281" s="14" t="s">
        <v>1020</v>
      </c>
      <c r="E281" s="14" t="s">
        <v>1032</v>
      </c>
      <c r="F281" s="70" t="s">
        <v>1037</v>
      </c>
      <c r="G281" s="14"/>
      <c r="H281" s="70" t="s">
        <v>15</v>
      </c>
      <c r="I281" s="14" t="s">
        <v>15</v>
      </c>
      <c r="J281" s="70" t="s">
        <v>16</v>
      </c>
      <c r="K281" s="59">
        <v>0.5</v>
      </c>
      <c r="L281" s="15"/>
      <c r="M281" s="14" t="s">
        <v>652</v>
      </c>
      <c r="N281" s="14" t="s">
        <v>254</v>
      </c>
      <c r="O281" s="14" t="s">
        <v>348</v>
      </c>
      <c r="P281" s="14"/>
      <c r="Q281" s="14" t="s">
        <v>315</v>
      </c>
      <c r="R281" s="14" t="s">
        <v>1024</v>
      </c>
    </row>
    <row r="282" spans="1:20" ht="15" customHeight="1">
      <c r="A282" s="62" t="s">
        <v>1038</v>
      </c>
      <c r="B282" s="62" t="s">
        <v>299</v>
      </c>
      <c r="C282" s="14" t="s">
        <v>30</v>
      </c>
      <c r="D282" s="14" t="s">
        <v>1020</v>
      </c>
      <c r="E282" s="14" t="s">
        <v>1032</v>
      </c>
      <c r="F282" s="62" t="s">
        <v>1039</v>
      </c>
      <c r="G282" s="14"/>
      <c r="H282" s="62" t="s">
        <v>17</v>
      </c>
      <c r="I282" s="14" t="s">
        <v>17</v>
      </c>
      <c r="J282" s="62" t="s">
        <v>18</v>
      </c>
      <c r="K282" s="59">
        <v>0.5</v>
      </c>
      <c r="L282" s="15"/>
      <c r="M282" s="14" t="s">
        <v>652</v>
      </c>
      <c r="N282" s="14" t="s">
        <v>254</v>
      </c>
      <c r="O282" s="14" t="s">
        <v>348</v>
      </c>
      <c r="P282" s="14"/>
      <c r="Q282" s="14" t="s">
        <v>315</v>
      </c>
      <c r="R282" s="14" t="s">
        <v>1024</v>
      </c>
    </row>
    <row r="283" spans="1:20" ht="15" customHeight="1">
      <c r="A283" s="16" t="s">
        <v>1040</v>
      </c>
      <c r="B283" s="16" t="s">
        <v>299</v>
      </c>
      <c r="C283" s="14" t="s">
        <v>28</v>
      </c>
      <c r="D283" s="14" t="s">
        <v>338</v>
      </c>
      <c r="E283" s="14" t="s">
        <v>343</v>
      </c>
      <c r="F283" s="16" t="s">
        <v>1041</v>
      </c>
      <c r="G283" s="14"/>
      <c r="H283" s="14" t="s">
        <v>296</v>
      </c>
      <c r="I283" s="14" t="s">
        <v>11</v>
      </c>
      <c r="J283" s="14" t="s">
        <v>12</v>
      </c>
      <c r="K283" s="59">
        <v>0.5</v>
      </c>
      <c r="L283" s="14"/>
      <c r="M283" s="14" t="s">
        <v>289</v>
      </c>
      <c r="N283" s="15" t="s">
        <v>20</v>
      </c>
      <c r="O283" s="14" t="s">
        <v>297</v>
      </c>
      <c r="P283" s="14"/>
      <c r="Q283" s="60" t="s">
        <v>301</v>
      </c>
      <c r="R283" s="14" t="s">
        <v>342</v>
      </c>
      <c r="S283" s="14" t="s">
        <v>391</v>
      </c>
      <c r="T283" s="14" t="s">
        <v>1042</v>
      </c>
    </row>
    <row r="284" spans="1:20" ht="15" customHeight="1">
      <c r="A284" s="16" t="s">
        <v>1043</v>
      </c>
      <c r="B284" s="16" t="s">
        <v>299</v>
      </c>
      <c r="C284" s="14" t="s">
        <v>28</v>
      </c>
      <c r="D284" s="14" t="s">
        <v>338</v>
      </c>
      <c r="E284" s="14" t="s">
        <v>343</v>
      </c>
      <c r="F284" s="16" t="s">
        <v>1044</v>
      </c>
      <c r="G284" s="14"/>
      <c r="H284" s="14" t="s">
        <v>13</v>
      </c>
      <c r="I284" s="14" t="s">
        <v>13</v>
      </c>
      <c r="J284" s="14" t="s">
        <v>47</v>
      </c>
      <c r="K284" s="59">
        <v>0.5</v>
      </c>
      <c r="L284" s="14"/>
      <c r="M284" s="14" t="s">
        <v>289</v>
      </c>
      <c r="N284" s="15" t="s">
        <v>20</v>
      </c>
      <c r="O284" s="14" t="s">
        <v>297</v>
      </c>
      <c r="P284" s="14"/>
      <c r="Q284" s="60" t="s">
        <v>301</v>
      </c>
      <c r="R284" s="14" t="s">
        <v>342</v>
      </c>
      <c r="S284" s="14" t="s">
        <v>56</v>
      </c>
      <c r="T284" s="14" t="s">
        <v>1042</v>
      </c>
    </row>
    <row r="285" spans="1:20" ht="15" customHeight="1">
      <c r="A285" s="16" t="s">
        <v>1045</v>
      </c>
      <c r="B285" s="16" t="s">
        <v>299</v>
      </c>
      <c r="C285" s="14" t="s">
        <v>28</v>
      </c>
      <c r="D285" s="14" t="s">
        <v>444</v>
      </c>
      <c r="E285" s="14" t="s">
        <v>448</v>
      </c>
      <c r="F285" s="16" t="s">
        <v>1046</v>
      </c>
      <c r="G285" s="14"/>
      <c r="H285" s="14" t="s">
        <v>13</v>
      </c>
      <c r="I285" s="14" t="s">
        <v>13</v>
      </c>
      <c r="J285" s="14" t="s">
        <v>47</v>
      </c>
      <c r="K285" s="59">
        <v>0.5</v>
      </c>
      <c r="L285" s="14"/>
      <c r="M285" s="14" t="s">
        <v>312</v>
      </c>
      <c r="N285" s="15" t="s">
        <v>21</v>
      </c>
      <c r="O285" s="14" t="s">
        <v>297</v>
      </c>
      <c r="P285" s="14"/>
      <c r="Q285" s="60" t="s">
        <v>301</v>
      </c>
      <c r="R285" s="14" t="s">
        <v>342</v>
      </c>
      <c r="S285" s="14" t="s">
        <v>98</v>
      </c>
      <c r="T285" s="14" t="s">
        <v>1042</v>
      </c>
    </row>
    <row r="286" spans="1:20" ht="15" customHeight="1">
      <c r="A286" s="16" t="s">
        <v>1047</v>
      </c>
      <c r="B286" s="16" t="s">
        <v>299</v>
      </c>
      <c r="C286" s="14" t="s">
        <v>28</v>
      </c>
      <c r="D286" s="14" t="s">
        <v>500</v>
      </c>
      <c r="E286" s="14" t="s">
        <v>514</v>
      </c>
      <c r="F286" s="16" t="s">
        <v>1048</v>
      </c>
      <c r="G286" s="14"/>
      <c r="H286" s="14" t="s">
        <v>13</v>
      </c>
      <c r="I286" s="14" t="s">
        <v>13</v>
      </c>
      <c r="J286" s="14" t="s">
        <v>47</v>
      </c>
      <c r="K286" s="59">
        <v>2</v>
      </c>
      <c r="L286" s="14"/>
      <c r="M286" s="14" t="s">
        <v>289</v>
      </c>
      <c r="N286" s="15" t="s">
        <v>21</v>
      </c>
      <c r="O286" s="14" t="s">
        <v>297</v>
      </c>
      <c r="P286" s="14"/>
      <c r="Q286" s="60" t="s">
        <v>301</v>
      </c>
      <c r="R286" s="14" t="s">
        <v>504</v>
      </c>
      <c r="S286" s="14" t="s">
        <v>1049</v>
      </c>
      <c r="T286" s="14" t="s">
        <v>1050</v>
      </c>
    </row>
    <row r="287" spans="1:20" ht="15" customHeight="1">
      <c r="A287" s="16" t="s">
        <v>1051</v>
      </c>
      <c r="B287" s="16" t="s">
        <v>299</v>
      </c>
      <c r="C287" s="14" t="s">
        <v>28</v>
      </c>
      <c r="D287" s="14" t="s">
        <v>500</v>
      </c>
      <c r="E287" s="14" t="s">
        <v>527</v>
      </c>
      <c r="F287" s="16" t="s">
        <v>1052</v>
      </c>
      <c r="G287" s="14"/>
      <c r="H287" s="14" t="s">
        <v>13</v>
      </c>
      <c r="I287" s="14" t="s">
        <v>13</v>
      </c>
      <c r="J287" s="14" t="s">
        <v>47</v>
      </c>
      <c r="K287" s="59">
        <v>1</v>
      </c>
      <c r="L287" s="14"/>
      <c r="M287" s="14" t="s">
        <v>289</v>
      </c>
      <c r="N287" s="15" t="s">
        <v>22</v>
      </c>
      <c r="O287" s="14" t="s">
        <v>297</v>
      </c>
      <c r="P287" s="14"/>
      <c r="Q287" s="60" t="s">
        <v>301</v>
      </c>
      <c r="R287" s="14" t="s">
        <v>504</v>
      </c>
      <c r="S287" s="14" t="s">
        <v>76</v>
      </c>
      <c r="T287" s="14" t="s">
        <v>1042</v>
      </c>
    </row>
  </sheetData>
  <autoFilter ref="A1:T287" xr:uid="{00000000-0009-0000-0000-000005000000}"/>
  <conditionalFormatting sqref="Q2:Q287">
    <cfRule type="cellIs" dxfId="1" priority="2" operator="equal">
      <formula>"Done"</formula>
    </cfRule>
    <cfRule type="cellIs" dxfId="0" priority="3" operator="equal">
      <formula>"In Progress"</formula>
    </cfRule>
  </conditionalFormatting>
  <dataValidations count="1">
    <dataValidation type="list" allowBlank="1" sqref="Q4:Q5 Q7:Q8 Q10:Q11 Q13:Q15 Q18:Q20 Q22:Q24 Q26 Q29:Q32 Q34 Q37:Q39 Q41:Q43 Q45:Q46 Q48:Q49 Q52:Q54 Q56:Q59 Q62:Q64 Q66:Q69 Q72:Q73 Q75:Q77 Q79:Q80 Q82:Q84 Q86:Q88 Q90 Q93:Q95 Q97:Q99 Q101:Q103 Q105:Q107 Q109:Q110 Q112 Q115:Q117 Q119:Q120 Q122:Q123 Q125:Q126 Q128:Q129 Q131 Q134:Q135 Q137:Q139 Q141:Q143 Q145 Q148:Q150 Q152:Q155 Q157:Q158 Q160:Q161 Q163 Q166:Q170 Q172:Q173 Q175 Q178:Q180 Q182:Q187 Q189 Q192:Q193 Q195:Q196 Q198:Q199 Q201 Q204:Q205 Q207:Q209 Q211:Q213 Q215 Q218:Q221 Q223:Q225 Q227:Q229 Q231:Q233 Q235:Q237 Q239:Q241 Q243 Q246:Q248 Q250:Q252 Q255:Q258 Q261:Q263 Q265:Q267 Q269:Q271 Q273:Q275 Q278:Q279 Q281:Q287" xr:uid="{00000000-0002-0000-0500-000000000000}">
      <formula1>"To Do,In Progress,In Review,Done,Blocked"</formula1>
      <formula2>0</formula2>
    </dataValidation>
  </dataValidations>
  <pageMargins left="0.75" right="0.75" top="1" bottom="1" header="0.511811023622047" footer="0.511811023622047"/>
  <pageSetup paperSize="9" orientation="portrait" horizontalDpi="300" verticalDpi="300"/>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97"/>
  <sheetViews>
    <sheetView showGridLines="0" tabSelected="1" zoomScaleNormal="100" workbookViewId="0">
      <pane ySplit="3" topLeftCell="A4" activePane="bottomLeft" state="frozen"/>
      <selection pane="bottomLeft"/>
    </sheetView>
  </sheetViews>
  <sheetFormatPr defaultColWidth="8.7109375" defaultRowHeight="15"/>
  <cols>
    <col min="1" max="1" width="16" customWidth="1"/>
    <col min="2" max="2" width="13" customWidth="1"/>
    <col min="3" max="3" width="8" customWidth="1"/>
    <col min="4" max="4" width="11" customWidth="1"/>
    <col min="5" max="5" width="40" customWidth="1"/>
    <col min="6" max="6" width="60" customWidth="1"/>
    <col min="7" max="8" width="7" customWidth="1"/>
    <col min="9" max="10" width="10" customWidth="1"/>
  </cols>
  <sheetData>
    <row r="1" spans="1:10" ht="15.75" customHeight="1">
      <c r="A1" s="13" t="s">
        <v>1053</v>
      </c>
    </row>
    <row r="3" spans="1:10" ht="15" customHeight="1">
      <c r="A3" s="25" t="s">
        <v>40</v>
      </c>
      <c r="B3" s="25" t="s">
        <v>274</v>
      </c>
      <c r="C3" s="25" t="s">
        <v>203</v>
      </c>
      <c r="D3" s="25" t="s">
        <v>268</v>
      </c>
      <c r="E3" s="25" t="s">
        <v>293</v>
      </c>
      <c r="F3" s="25" t="s">
        <v>1054</v>
      </c>
      <c r="G3" s="25" t="s">
        <v>1055</v>
      </c>
      <c r="H3" s="25" t="s">
        <v>164</v>
      </c>
      <c r="I3" s="25" t="s">
        <v>1056</v>
      </c>
      <c r="J3" s="25" t="s">
        <v>279</v>
      </c>
    </row>
    <row r="4" spans="1:10" ht="15" customHeight="1">
      <c r="A4" s="58" t="s">
        <v>12</v>
      </c>
      <c r="B4" s="58" t="s">
        <v>296</v>
      </c>
      <c r="C4" s="15" t="s">
        <v>20</v>
      </c>
      <c r="D4" s="14" t="s">
        <v>352</v>
      </c>
      <c r="E4" s="14" t="s">
        <v>1057</v>
      </c>
      <c r="F4" s="14" t="s">
        <v>1058</v>
      </c>
      <c r="G4" s="10">
        <v>1</v>
      </c>
      <c r="H4" s="15" t="s">
        <v>28</v>
      </c>
      <c r="I4" s="14" t="s">
        <v>348</v>
      </c>
      <c r="J4" s="14" t="s">
        <v>289</v>
      </c>
    </row>
    <row r="5" spans="1:10" ht="15" customHeight="1">
      <c r="A5" s="58" t="s">
        <v>12</v>
      </c>
      <c r="B5" s="58" t="s">
        <v>296</v>
      </c>
      <c r="C5" s="15" t="s">
        <v>20</v>
      </c>
      <c r="D5" s="14" t="s">
        <v>117</v>
      </c>
      <c r="E5" s="14" t="s">
        <v>1059</v>
      </c>
      <c r="F5" s="14" t="s">
        <v>1060</v>
      </c>
      <c r="G5" s="10">
        <v>0.5</v>
      </c>
      <c r="H5" s="15" t="s">
        <v>28</v>
      </c>
      <c r="I5" s="14" t="s">
        <v>348</v>
      </c>
      <c r="J5" s="14" t="s">
        <v>312</v>
      </c>
    </row>
    <row r="6" spans="1:10" ht="15" customHeight="1">
      <c r="A6" s="58" t="s">
        <v>12</v>
      </c>
      <c r="B6" s="58" t="s">
        <v>296</v>
      </c>
      <c r="C6" s="15" t="s">
        <v>20</v>
      </c>
      <c r="D6" s="14" t="s">
        <v>389</v>
      </c>
      <c r="E6" s="14" t="s">
        <v>1061</v>
      </c>
      <c r="F6" s="14" t="s">
        <v>1062</v>
      </c>
      <c r="G6" s="10">
        <v>0.5</v>
      </c>
      <c r="H6" s="15" t="s">
        <v>28</v>
      </c>
      <c r="I6" s="14" t="s">
        <v>348</v>
      </c>
      <c r="J6" s="14" t="s">
        <v>289</v>
      </c>
    </row>
    <row r="7" spans="1:10" ht="15" customHeight="1">
      <c r="A7" s="58" t="s">
        <v>12</v>
      </c>
      <c r="B7" s="58" t="s">
        <v>296</v>
      </c>
      <c r="C7" s="15" t="s">
        <v>20</v>
      </c>
      <c r="D7" s="14" t="s">
        <v>298</v>
      </c>
      <c r="E7" s="14" t="s">
        <v>1063</v>
      </c>
      <c r="F7" s="14" t="s">
        <v>1064</v>
      </c>
      <c r="G7" s="10">
        <v>3</v>
      </c>
      <c r="H7" s="15" t="s">
        <v>28</v>
      </c>
      <c r="I7" s="56" t="s">
        <v>297</v>
      </c>
      <c r="J7" s="14" t="s">
        <v>289</v>
      </c>
    </row>
    <row r="8" spans="1:10" ht="15" customHeight="1">
      <c r="A8" s="58" t="s">
        <v>12</v>
      </c>
      <c r="B8" s="58" t="s">
        <v>296</v>
      </c>
      <c r="C8" s="15" t="s">
        <v>20</v>
      </c>
      <c r="D8" s="14" t="s">
        <v>304</v>
      </c>
      <c r="E8" s="14" t="s">
        <v>1063</v>
      </c>
      <c r="F8" s="14" t="s">
        <v>1065</v>
      </c>
      <c r="G8" s="10">
        <v>1</v>
      </c>
      <c r="H8" s="15" t="s">
        <v>28</v>
      </c>
      <c r="I8" s="56" t="s">
        <v>297</v>
      </c>
      <c r="J8" s="14" t="s">
        <v>289</v>
      </c>
    </row>
    <row r="9" spans="1:10" ht="23.25" customHeight="1">
      <c r="A9" s="58" t="s">
        <v>12</v>
      </c>
      <c r="B9" s="58" t="s">
        <v>296</v>
      </c>
      <c r="C9" s="15" t="s">
        <v>21</v>
      </c>
      <c r="D9" s="14" t="s">
        <v>512</v>
      </c>
      <c r="E9" s="14" t="s">
        <v>1066</v>
      </c>
      <c r="F9" s="14" t="s">
        <v>1067</v>
      </c>
      <c r="G9" s="10">
        <v>1.5</v>
      </c>
      <c r="H9" s="15" t="s">
        <v>28</v>
      </c>
      <c r="I9" s="56" t="s">
        <v>297</v>
      </c>
      <c r="J9" s="14" t="s">
        <v>289</v>
      </c>
    </row>
    <row r="10" spans="1:10" ht="15" customHeight="1">
      <c r="A10" s="58" t="s">
        <v>12</v>
      </c>
      <c r="B10" s="58" t="s">
        <v>296</v>
      </c>
      <c r="C10" s="15" t="s">
        <v>21</v>
      </c>
      <c r="D10" s="14" t="s">
        <v>525</v>
      </c>
      <c r="E10" s="14" t="s">
        <v>1068</v>
      </c>
      <c r="F10" s="14" t="s">
        <v>1069</v>
      </c>
      <c r="G10" s="10">
        <v>2</v>
      </c>
      <c r="H10" s="15" t="s">
        <v>28</v>
      </c>
      <c r="I10" s="56" t="s">
        <v>297</v>
      </c>
      <c r="J10" s="14" t="s">
        <v>289</v>
      </c>
    </row>
    <row r="11" spans="1:10" ht="15" customHeight="1">
      <c r="A11" s="58" t="s">
        <v>12</v>
      </c>
      <c r="B11" s="58" t="s">
        <v>296</v>
      </c>
      <c r="C11" s="15" t="s">
        <v>22</v>
      </c>
      <c r="D11" s="14" t="s">
        <v>496</v>
      </c>
      <c r="E11" s="14" t="s">
        <v>1070</v>
      </c>
      <c r="F11" s="14" t="s">
        <v>1071</v>
      </c>
      <c r="G11" s="10">
        <v>1</v>
      </c>
      <c r="H11" s="15" t="s">
        <v>28</v>
      </c>
      <c r="I11" s="14" t="s">
        <v>348</v>
      </c>
      <c r="J11" s="14" t="s">
        <v>312</v>
      </c>
    </row>
    <row r="12" spans="1:10" ht="15" customHeight="1">
      <c r="A12" s="58" t="s">
        <v>12</v>
      </c>
      <c r="B12" s="58" t="s">
        <v>296</v>
      </c>
      <c r="C12" s="15" t="s">
        <v>22</v>
      </c>
      <c r="D12" s="14" t="s">
        <v>572</v>
      </c>
      <c r="E12" s="14" t="s">
        <v>1072</v>
      </c>
      <c r="F12" s="14" t="s">
        <v>1073</v>
      </c>
      <c r="G12" s="10">
        <v>3.5</v>
      </c>
      <c r="H12" s="15" t="s">
        <v>28</v>
      </c>
      <c r="I12" s="14" t="s">
        <v>348</v>
      </c>
      <c r="J12" s="14" t="s">
        <v>289</v>
      </c>
    </row>
    <row r="13" spans="1:10" ht="15" customHeight="1">
      <c r="A13" s="58" t="s">
        <v>12</v>
      </c>
      <c r="B13" s="58" t="s">
        <v>296</v>
      </c>
      <c r="C13" s="15" t="s">
        <v>22</v>
      </c>
      <c r="D13" s="14" t="s">
        <v>581</v>
      </c>
      <c r="E13" s="14" t="s">
        <v>1074</v>
      </c>
      <c r="F13" s="14" t="s">
        <v>1075</v>
      </c>
      <c r="G13" s="10">
        <v>2.5</v>
      </c>
      <c r="H13" s="15" t="s">
        <v>28</v>
      </c>
      <c r="I13" s="14" t="s">
        <v>348</v>
      </c>
      <c r="J13" s="14" t="s">
        <v>289</v>
      </c>
    </row>
    <row r="14" spans="1:10" ht="23.25" customHeight="1">
      <c r="A14" s="58" t="s">
        <v>12</v>
      </c>
      <c r="B14" s="58" t="s">
        <v>296</v>
      </c>
      <c r="C14" s="15" t="s">
        <v>22</v>
      </c>
      <c r="D14" s="14" t="s">
        <v>533</v>
      </c>
      <c r="E14" s="14" t="s">
        <v>1076</v>
      </c>
      <c r="F14" s="14" t="s">
        <v>1077</v>
      </c>
      <c r="G14" s="10">
        <v>1</v>
      </c>
      <c r="H14" s="15" t="s">
        <v>28</v>
      </c>
      <c r="I14" s="56" t="s">
        <v>297</v>
      </c>
      <c r="J14" s="14" t="s">
        <v>289</v>
      </c>
    </row>
    <row r="15" spans="1:10" ht="15" customHeight="1">
      <c r="A15" s="58" t="s">
        <v>12</v>
      </c>
      <c r="B15" s="58" t="s">
        <v>296</v>
      </c>
      <c r="C15" s="15" t="s">
        <v>22</v>
      </c>
      <c r="D15" s="14" t="s">
        <v>544</v>
      </c>
      <c r="E15" s="14" t="s">
        <v>1078</v>
      </c>
      <c r="F15" s="14" t="s">
        <v>1079</v>
      </c>
      <c r="G15" s="10">
        <v>1.5</v>
      </c>
      <c r="H15" s="15" t="s">
        <v>28</v>
      </c>
      <c r="I15" s="56" t="s">
        <v>297</v>
      </c>
      <c r="J15" s="14" t="s">
        <v>289</v>
      </c>
    </row>
    <row r="16" spans="1:10" ht="15" customHeight="1">
      <c r="A16" s="58" t="s">
        <v>12</v>
      </c>
      <c r="B16" s="58" t="s">
        <v>296</v>
      </c>
      <c r="C16" s="15" t="s">
        <v>23</v>
      </c>
      <c r="D16" s="14" t="s">
        <v>590</v>
      </c>
      <c r="E16" s="14" t="s">
        <v>1080</v>
      </c>
      <c r="F16" s="14" t="s">
        <v>1081</v>
      </c>
      <c r="G16" s="10">
        <v>3</v>
      </c>
      <c r="H16" s="15" t="s">
        <v>28</v>
      </c>
      <c r="I16" s="14" t="s">
        <v>348</v>
      </c>
      <c r="J16" s="14" t="s">
        <v>289</v>
      </c>
    </row>
    <row r="17" spans="1:10" ht="23.25" customHeight="1">
      <c r="A17" s="58" t="s">
        <v>12</v>
      </c>
      <c r="B17" s="58" t="s">
        <v>296</v>
      </c>
      <c r="C17" s="15" t="s">
        <v>23</v>
      </c>
      <c r="D17" s="14" t="s">
        <v>597</v>
      </c>
      <c r="E17" s="14" t="s">
        <v>1082</v>
      </c>
      <c r="F17" s="14" t="s">
        <v>1083</v>
      </c>
      <c r="G17" s="10">
        <v>0.5</v>
      </c>
      <c r="H17" s="15" t="s">
        <v>28</v>
      </c>
      <c r="I17" s="14" t="s">
        <v>348</v>
      </c>
      <c r="J17" s="14" t="s">
        <v>289</v>
      </c>
    </row>
    <row r="18" spans="1:10" ht="23.25" customHeight="1">
      <c r="A18" s="58" t="s">
        <v>12</v>
      </c>
      <c r="B18" s="58" t="s">
        <v>296</v>
      </c>
      <c r="C18" s="15" t="s">
        <v>23</v>
      </c>
      <c r="D18" s="14" t="s">
        <v>671</v>
      </c>
      <c r="E18" s="14" t="s">
        <v>1084</v>
      </c>
      <c r="F18" s="14" t="s">
        <v>1085</v>
      </c>
      <c r="G18" s="10">
        <v>1.5</v>
      </c>
      <c r="H18" s="15" t="s">
        <v>28</v>
      </c>
      <c r="I18" s="14" t="s">
        <v>348</v>
      </c>
      <c r="J18" s="14" t="s">
        <v>312</v>
      </c>
    </row>
    <row r="19" spans="1:10" ht="15" customHeight="1">
      <c r="A19" s="58" t="s">
        <v>12</v>
      </c>
      <c r="B19" s="58" t="s">
        <v>296</v>
      </c>
      <c r="C19" s="15" t="s">
        <v>23</v>
      </c>
      <c r="D19" s="14" t="s">
        <v>680</v>
      </c>
      <c r="E19" s="14" t="s">
        <v>1086</v>
      </c>
      <c r="F19" s="14" t="s">
        <v>1087</v>
      </c>
      <c r="G19" s="10">
        <v>0.5</v>
      </c>
      <c r="H19" s="15" t="s">
        <v>28</v>
      </c>
      <c r="I19" s="14" t="s">
        <v>348</v>
      </c>
      <c r="J19" s="14" t="s">
        <v>312</v>
      </c>
    </row>
    <row r="20" spans="1:10" ht="15" customHeight="1">
      <c r="A20" s="58" t="s">
        <v>12</v>
      </c>
      <c r="B20" s="58" t="s">
        <v>296</v>
      </c>
      <c r="C20" s="15" t="s">
        <v>23</v>
      </c>
      <c r="D20" s="14" t="s">
        <v>606</v>
      </c>
      <c r="E20" s="14" t="s">
        <v>1088</v>
      </c>
      <c r="F20" s="14" t="s">
        <v>1089</v>
      </c>
      <c r="G20" s="10">
        <v>2</v>
      </c>
      <c r="H20" s="15" t="s">
        <v>28</v>
      </c>
      <c r="I20" s="56" t="s">
        <v>297</v>
      </c>
      <c r="J20" s="14" t="s">
        <v>289</v>
      </c>
    </row>
    <row r="21" spans="1:10" ht="23.25" customHeight="1">
      <c r="A21" s="58" t="s">
        <v>12</v>
      </c>
      <c r="B21" s="58" t="s">
        <v>296</v>
      </c>
      <c r="C21" s="15" t="s">
        <v>24</v>
      </c>
      <c r="D21" s="14" t="s">
        <v>469</v>
      </c>
      <c r="E21" s="14" t="s">
        <v>1090</v>
      </c>
      <c r="F21" s="14" t="s">
        <v>1091</v>
      </c>
      <c r="G21" s="10">
        <v>0.5</v>
      </c>
      <c r="H21" s="15" t="s">
        <v>28</v>
      </c>
      <c r="I21" s="14" t="s">
        <v>348</v>
      </c>
      <c r="J21" s="14" t="s">
        <v>312</v>
      </c>
    </row>
    <row r="22" spans="1:10" ht="23.25" customHeight="1">
      <c r="A22" s="58" t="s">
        <v>12</v>
      </c>
      <c r="B22" s="58" t="s">
        <v>296</v>
      </c>
      <c r="C22" s="15" t="s">
        <v>24</v>
      </c>
      <c r="D22" s="14" t="s">
        <v>625</v>
      </c>
      <c r="E22" s="14" t="s">
        <v>1092</v>
      </c>
      <c r="F22" s="14" t="s">
        <v>1093</v>
      </c>
      <c r="G22" s="10">
        <v>4</v>
      </c>
      <c r="H22" s="15" t="s">
        <v>28</v>
      </c>
      <c r="I22" s="56" t="s">
        <v>297</v>
      </c>
      <c r="J22" s="14" t="s">
        <v>289</v>
      </c>
    </row>
    <row r="23" spans="1:10" ht="23.25" customHeight="1">
      <c r="A23" s="58" t="s">
        <v>12</v>
      </c>
      <c r="B23" s="58" t="s">
        <v>296</v>
      </c>
      <c r="C23" s="15" t="s">
        <v>24</v>
      </c>
      <c r="D23" s="14" t="s">
        <v>632</v>
      </c>
      <c r="E23" s="14" t="s">
        <v>1094</v>
      </c>
      <c r="F23" s="14" t="s">
        <v>1095</v>
      </c>
      <c r="G23" s="10">
        <v>4</v>
      </c>
      <c r="H23" s="15" t="s">
        <v>28</v>
      </c>
      <c r="I23" s="56" t="s">
        <v>297</v>
      </c>
      <c r="J23" s="14" t="s">
        <v>312</v>
      </c>
    </row>
    <row r="24" spans="1:10" ht="23.25" customHeight="1">
      <c r="A24" s="58" t="s">
        <v>12</v>
      </c>
      <c r="B24" s="58" t="s">
        <v>296</v>
      </c>
      <c r="C24" s="15" t="s">
        <v>24</v>
      </c>
      <c r="D24" s="14" t="s">
        <v>639</v>
      </c>
      <c r="E24" s="14" t="s">
        <v>1096</v>
      </c>
      <c r="F24" s="14" t="s">
        <v>1097</v>
      </c>
      <c r="G24" s="10">
        <v>1</v>
      </c>
      <c r="H24" s="15" t="s">
        <v>28</v>
      </c>
      <c r="I24" s="56" t="s">
        <v>297</v>
      </c>
      <c r="J24" s="14" t="s">
        <v>289</v>
      </c>
    </row>
    <row r="25" spans="1:10" ht="15" customHeight="1">
      <c r="A25" s="58" t="s">
        <v>12</v>
      </c>
      <c r="B25" s="58" t="s">
        <v>296</v>
      </c>
      <c r="C25" s="15" t="s">
        <v>231</v>
      </c>
      <c r="D25" s="14" t="s">
        <v>708</v>
      </c>
      <c r="E25" s="14" t="s">
        <v>1098</v>
      </c>
      <c r="F25" s="14" t="s">
        <v>1099</v>
      </c>
      <c r="G25" s="10">
        <v>3</v>
      </c>
      <c r="H25" s="15" t="s">
        <v>28</v>
      </c>
      <c r="I25" s="14" t="s">
        <v>348</v>
      </c>
      <c r="J25" s="14" t="s">
        <v>312</v>
      </c>
    </row>
    <row r="26" spans="1:10" ht="15" customHeight="1">
      <c r="A26" s="58" t="s">
        <v>12</v>
      </c>
      <c r="B26" s="58" t="s">
        <v>296</v>
      </c>
      <c r="C26" s="15" t="s">
        <v>231</v>
      </c>
      <c r="D26" s="14" t="s">
        <v>687</v>
      </c>
      <c r="E26" s="14" t="s">
        <v>1100</v>
      </c>
      <c r="F26" s="14" t="s">
        <v>1101</v>
      </c>
      <c r="G26" s="10">
        <v>1.5</v>
      </c>
      <c r="H26" s="15" t="s">
        <v>28</v>
      </c>
      <c r="I26" s="56" t="s">
        <v>297</v>
      </c>
      <c r="J26" s="14" t="s">
        <v>312</v>
      </c>
    </row>
    <row r="27" spans="1:10" ht="23.25" customHeight="1">
      <c r="A27" s="63" t="s">
        <v>12</v>
      </c>
      <c r="B27" s="63" t="s">
        <v>333</v>
      </c>
      <c r="C27" s="15" t="s">
        <v>231</v>
      </c>
      <c r="D27" s="14" t="s">
        <v>647</v>
      </c>
      <c r="E27" s="14" t="s">
        <v>1102</v>
      </c>
      <c r="F27" s="14" t="s">
        <v>1103</v>
      </c>
      <c r="G27" s="10">
        <v>3</v>
      </c>
      <c r="H27" s="15" t="s">
        <v>28</v>
      </c>
      <c r="I27" s="56" t="s">
        <v>297</v>
      </c>
      <c r="J27" s="14" t="s">
        <v>289</v>
      </c>
    </row>
    <row r="28" spans="1:10" ht="15" customHeight="1">
      <c r="A28" s="58" t="s">
        <v>12</v>
      </c>
      <c r="B28" s="58" t="s">
        <v>296</v>
      </c>
      <c r="C28" s="15" t="s">
        <v>231</v>
      </c>
      <c r="D28" s="14" t="s">
        <v>655</v>
      </c>
      <c r="E28" s="14" t="s">
        <v>1104</v>
      </c>
      <c r="F28" s="14" t="s">
        <v>1105</v>
      </c>
      <c r="G28" s="10">
        <v>1.5</v>
      </c>
      <c r="H28" s="15" t="s">
        <v>28</v>
      </c>
      <c r="I28" s="56" t="s">
        <v>297</v>
      </c>
      <c r="J28" s="14" t="s">
        <v>652</v>
      </c>
    </row>
    <row r="29" spans="1:10" ht="15" customHeight="1">
      <c r="A29" s="63" t="s">
        <v>12</v>
      </c>
      <c r="B29" s="63" t="s">
        <v>333</v>
      </c>
      <c r="C29" s="15" t="s">
        <v>25</v>
      </c>
      <c r="D29" s="14" t="s">
        <v>715</v>
      </c>
      <c r="E29" s="14" t="s">
        <v>1106</v>
      </c>
      <c r="F29" s="14" t="s">
        <v>1107</v>
      </c>
      <c r="G29" s="10">
        <v>3</v>
      </c>
      <c r="H29" s="15" t="s">
        <v>28</v>
      </c>
      <c r="I29" s="14" t="s">
        <v>348</v>
      </c>
      <c r="J29" s="14" t="s">
        <v>312</v>
      </c>
    </row>
    <row r="30" spans="1:10" ht="15" customHeight="1">
      <c r="A30" s="58" t="s">
        <v>12</v>
      </c>
      <c r="B30" s="58" t="s">
        <v>296</v>
      </c>
      <c r="C30" s="15" t="s">
        <v>25</v>
      </c>
      <c r="D30" s="14" t="s">
        <v>726</v>
      </c>
      <c r="E30" s="14" t="s">
        <v>1108</v>
      </c>
      <c r="F30" s="14" t="s">
        <v>1109</v>
      </c>
      <c r="G30" s="10">
        <v>2</v>
      </c>
      <c r="H30" s="15" t="s">
        <v>28</v>
      </c>
      <c r="I30" s="14" t="s">
        <v>348</v>
      </c>
      <c r="J30" s="14" t="s">
        <v>652</v>
      </c>
    </row>
    <row r="31" spans="1:10" ht="15" customHeight="1">
      <c r="A31" s="58" t="s">
        <v>12</v>
      </c>
      <c r="B31" s="58" t="s">
        <v>296</v>
      </c>
      <c r="C31" s="15" t="s">
        <v>25</v>
      </c>
      <c r="D31" s="14" t="s">
        <v>733</v>
      </c>
      <c r="E31" s="14" t="s">
        <v>1110</v>
      </c>
      <c r="F31" s="14" t="s">
        <v>1111</v>
      </c>
      <c r="G31" s="10">
        <v>1</v>
      </c>
      <c r="H31" s="15" t="s">
        <v>28</v>
      </c>
      <c r="I31" s="14" t="s">
        <v>348</v>
      </c>
      <c r="J31" s="14" t="s">
        <v>312</v>
      </c>
    </row>
    <row r="32" spans="1:10" ht="15" customHeight="1">
      <c r="A32" s="58" t="s">
        <v>12</v>
      </c>
      <c r="B32" s="58" t="s">
        <v>296</v>
      </c>
      <c r="C32" s="15" t="s">
        <v>25</v>
      </c>
      <c r="D32" s="14" t="s">
        <v>554</v>
      </c>
      <c r="E32" s="14" t="s">
        <v>1112</v>
      </c>
      <c r="F32" s="14" t="s">
        <v>1113</v>
      </c>
      <c r="G32" s="10">
        <v>0.5</v>
      </c>
      <c r="H32" s="15" t="s">
        <v>28</v>
      </c>
      <c r="I32" s="56" t="s">
        <v>297</v>
      </c>
      <c r="J32" s="14" t="s">
        <v>312</v>
      </c>
    </row>
    <row r="33" spans="1:10" ht="15" customHeight="1">
      <c r="A33" s="58" t="s">
        <v>12</v>
      </c>
      <c r="B33" s="58" t="s">
        <v>296</v>
      </c>
      <c r="C33" s="15" t="s">
        <v>25</v>
      </c>
      <c r="D33" s="14" t="s">
        <v>325</v>
      </c>
      <c r="E33" s="14" t="s">
        <v>1114</v>
      </c>
      <c r="F33" s="14" t="s">
        <v>1115</v>
      </c>
      <c r="G33" s="10">
        <v>1</v>
      </c>
      <c r="H33" s="15" t="s">
        <v>28</v>
      </c>
      <c r="I33" s="56" t="s">
        <v>297</v>
      </c>
      <c r="J33" s="14" t="s">
        <v>312</v>
      </c>
    </row>
    <row r="34" spans="1:10" ht="15" customHeight="1">
      <c r="A34" s="58" t="s">
        <v>12</v>
      </c>
      <c r="B34" s="58" t="s">
        <v>296</v>
      </c>
      <c r="C34" s="15" t="s">
        <v>238</v>
      </c>
      <c r="D34" s="14" t="s">
        <v>751</v>
      </c>
      <c r="E34" s="14" t="s">
        <v>1116</v>
      </c>
      <c r="F34" s="14" t="s">
        <v>1117</v>
      </c>
      <c r="G34" s="10">
        <v>1</v>
      </c>
      <c r="H34" s="15" t="s">
        <v>29</v>
      </c>
      <c r="I34" s="14" t="s">
        <v>348</v>
      </c>
      <c r="J34" s="14" t="s">
        <v>652</v>
      </c>
    </row>
    <row r="35" spans="1:10" ht="15" customHeight="1">
      <c r="A35" s="58" t="s">
        <v>12</v>
      </c>
      <c r="B35" s="58" t="s">
        <v>296</v>
      </c>
      <c r="C35" s="15" t="s">
        <v>238</v>
      </c>
      <c r="D35" s="14" t="s">
        <v>753</v>
      </c>
      <c r="E35" s="14" t="s">
        <v>1116</v>
      </c>
      <c r="F35" s="14" t="s">
        <v>1118</v>
      </c>
      <c r="G35" s="10">
        <v>0.5</v>
      </c>
      <c r="H35" s="15" t="s">
        <v>29</v>
      </c>
      <c r="I35" s="56" t="s">
        <v>297</v>
      </c>
      <c r="J35" s="14" t="s">
        <v>652</v>
      </c>
    </row>
    <row r="36" spans="1:10" ht="15" customHeight="1">
      <c r="A36" s="58" t="s">
        <v>12</v>
      </c>
      <c r="B36" s="58" t="s">
        <v>296</v>
      </c>
      <c r="C36" s="15" t="s">
        <v>238</v>
      </c>
      <c r="D36" s="14" t="s">
        <v>760</v>
      </c>
      <c r="E36" s="14" t="s">
        <v>1119</v>
      </c>
      <c r="F36" s="14" t="s">
        <v>1120</v>
      </c>
      <c r="G36" s="10">
        <v>0.5</v>
      </c>
      <c r="H36" s="15" t="s">
        <v>29</v>
      </c>
      <c r="I36" s="14" t="s">
        <v>348</v>
      </c>
      <c r="J36" s="14" t="s">
        <v>652</v>
      </c>
    </row>
    <row r="37" spans="1:10" ht="15" customHeight="1">
      <c r="A37" s="58" t="s">
        <v>12</v>
      </c>
      <c r="B37" s="58" t="s">
        <v>296</v>
      </c>
      <c r="C37" s="15" t="s">
        <v>238</v>
      </c>
      <c r="D37" s="14" t="s">
        <v>781</v>
      </c>
      <c r="E37" s="14" t="s">
        <v>1121</v>
      </c>
      <c r="F37" s="14" t="s">
        <v>1122</v>
      </c>
      <c r="G37" s="10">
        <v>1</v>
      </c>
      <c r="H37" s="15" t="s">
        <v>29</v>
      </c>
      <c r="I37" s="14" t="s">
        <v>348</v>
      </c>
      <c r="J37" s="14" t="s">
        <v>652</v>
      </c>
    </row>
    <row r="38" spans="1:10" ht="23.25" customHeight="1">
      <c r="A38" s="58" t="s">
        <v>12</v>
      </c>
      <c r="B38" s="58" t="s">
        <v>296</v>
      </c>
      <c r="C38" s="15" t="s">
        <v>238</v>
      </c>
      <c r="D38" s="14" t="s">
        <v>786</v>
      </c>
      <c r="E38" s="14" t="s">
        <v>1123</v>
      </c>
      <c r="F38" s="14" t="s">
        <v>1124</v>
      </c>
      <c r="G38" s="10">
        <v>1.5</v>
      </c>
      <c r="H38" s="15" t="s">
        <v>29</v>
      </c>
      <c r="I38" s="14" t="s">
        <v>348</v>
      </c>
      <c r="J38" s="14" t="s">
        <v>652</v>
      </c>
    </row>
    <row r="39" spans="1:10" ht="23.25" customHeight="1">
      <c r="A39" s="58" t="s">
        <v>12</v>
      </c>
      <c r="B39" s="58" t="s">
        <v>296</v>
      </c>
      <c r="C39" s="15" t="s">
        <v>238</v>
      </c>
      <c r="D39" s="14" t="s">
        <v>796</v>
      </c>
      <c r="E39" s="14" t="s">
        <v>1123</v>
      </c>
      <c r="F39" s="14" t="s">
        <v>1125</v>
      </c>
      <c r="G39" s="10">
        <v>1</v>
      </c>
      <c r="H39" s="15" t="s">
        <v>29</v>
      </c>
      <c r="I39" s="56" t="s">
        <v>297</v>
      </c>
      <c r="J39" s="14" t="s">
        <v>652</v>
      </c>
    </row>
    <row r="40" spans="1:10" ht="15" customHeight="1">
      <c r="A40" s="58" t="s">
        <v>12</v>
      </c>
      <c r="B40" s="58" t="s">
        <v>296</v>
      </c>
      <c r="C40" s="15" t="s">
        <v>238</v>
      </c>
      <c r="D40" s="14" t="s">
        <v>813</v>
      </c>
      <c r="E40" s="14" t="s">
        <v>1126</v>
      </c>
      <c r="F40" s="14" t="s">
        <v>1127</v>
      </c>
      <c r="G40" s="10">
        <v>2</v>
      </c>
      <c r="H40" s="15" t="s">
        <v>29</v>
      </c>
      <c r="I40" s="56" t="s">
        <v>297</v>
      </c>
      <c r="J40" s="14" t="s">
        <v>312</v>
      </c>
    </row>
    <row r="41" spans="1:10" ht="15" customHeight="1">
      <c r="A41" s="58" t="s">
        <v>12</v>
      </c>
      <c r="B41" s="58" t="s">
        <v>296</v>
      </c>
      <c r="C41" s="15" t="s">
        <v>238</v>
      </c>
      <c r="D41" s="14" t="s">
        <v>820</v>
      </c>
      <c r="E41" s="14" t="s">
        <v>1128</v>
      </c>
      <c r="F41" s="14" t="s">
        <v>1129</v>
      </c>
      <c r="G41" s="10">
        <v>2</v>
      </c>
      <c r="H41" s="15" t="s">
        <v>29</v>
      </c>
      <c r="I41" s="56" t="s">
        <v>297</v>
      </c>
      <c r="J41" s="14" t="s">
        <v>652</v>
      </c>
    </row>
    <row r="42" spans="1:10" ht="15" customHeight="1">
      <c r="A42" s="58" t="s">
        <v>12</v>
      </c>
      <c r="B42" s="58" t="s">
        <v>296</v>
      </c>
      <c r="C42" s="15" t="s">
        <v>238</v>
      </c>
      <c r="D42" s="14" t="s">
        <v>827</v>
      </c>
      <c r="E42" s="14" t="s">
        <v>1130</v>
      </c>
      <c r="F42" s="14" t="s">
        <v>1131</v>
      </c>
      <c r="G42" s="10">
        <v>1.5</v>
      </c>
      <c r="H42" s="15" t="s">
        <v>29</v>
      </c>
      <c r="I42" s="56" t="s">
        <v>297</v>
      </c>
      <c r="J42" s="14" t="s">
        <v>312</v>
      </c>
    </row>
    <row r="43" spans="1:10" ht="23.25" customHeight="1">
      <c r="A43" s="58" t="s">
        <v>12</v>
      </c>
      <c r="B43" s="58" t="s">
        <v>296</v>
      </c>
      <c r="C43" s="15" t="s">
        <v>242</v>
      </c>
      <c r="D43" s="14" t="s">
        <v>861</v>
      </c>
      <c r="E43" s="14" t="s">
        <v>1132</v>
      </c>
      <c r="F43" s="14" t="s">
        <v>1133</v>
      </c>
      <c r="G43" s="10">
        <v>1.5</v>
      </c>
      <c r="H43" s="15" t="s">
        <v>30</v>
      </c>
      <c r="I43" s="14" t="s">
        <v>348</v>
      </c>
      <c r="J43" s="14" t="s">
        <v>652</v>
      </c>
    </row>
    <row r="44" spans="1:10" ht="23.25" customHeight="1">
      <c r="A44" s="63" t="s">
        <v>12</v>
      </c>
      <c r="B44" s="63" t="s">
        <v>333</v>
      </c>
      <c r="C44" s="15" t="s">
        <v>242</v>
      </c>
      <c r="D44" s="14" t="s">
        <v>331</v>
      </c>
      <c r="E44" s="14" t="s">
        <v>1134</v>
      </c>
      <c r="F44" s="14" t="s">
        <v>1135</v>
      </c>
      <c r="G44" s="10">
        <v>2</v>
      </c>
      <c r="H44" s="15" t="s">
        <v>28</v>
      </c>
      <c r="I44" s="56" t="s">
        <v>297</v>
      </c>
      <c r="J44" s="14" t="s">
        <v>312</v>
      </c>
    </row>
    <row r="45" spans="1:10" ht="23.25" customHeight="1">
      <c r="A45" s="63" t="s">
        <v>12</v>
      </c>
      <c r="B45" s="63" t="s">
        <v>333</v>
      </c>
      <c r="C45" s="15" t="s">
        <v>242</v>
      </c>
      <c r="D45" s="14" t="s">
        <v>334</v>
      </c>
      <c r="E45" s="14" t="s">
        <v>1134</v>
      </c>
      <c r="F45" s="14" t="s">
        <v>1136</v>
      </c>
      <c r="G45" s="10">
        <v>0.5</v>
      </c>
      <c r="H45" s="15" t="s">
        <v>28</v>
      </c>
      <c r="I45" s="56" t="s">
        <v>297</v>
      </c>
      <c r="J45" s="14" t="s">
        <v>312</v>
      </c>
    </row>
    <row r="46" spans="1:10" ht="15" customHeight="1">
      <c r="A46" s="63" t="s">
        <v>12</v>
      </c>
      <c r="B46" s="63" t="s">
        <v>333</v>
      </c>
      <c r="C46" s="15" t="s">
        <v>242</v>
      </c>
      <c r="D46" s="14" t="s">
        <v>373</v>
      </c>
      <c r="E46" s="14" t="s">
        <v>1137</v>
      </c>
      <c r="F46" s="14" t="s">
        <v>1138</v>
      </c>
      <c r="G46" s="10">
        <v>1</v>
      </c>
      <c r="H46" s="15" t="s">
        <v>28</v>
      </c>
      <c r="I46" s="56" t="s">
        <v>297</v>
      </c>
      <c r="J46" s="14" t="s">
        <v>289</v>
      </c>
    </row>
    <row r="47" spans="1:10" ht="23.25" customHeight="1">
      <c r="A47" s="63" t="s">
        <v>12</v>
      </c>
      <c r="B47" s="63" t="s">
        <v>333</v>
      </c>
      <c r="C47" s="15" t="s">
        <v>242</v>
      </c>
      <c r="D47" s="14" t="s">
        <v>400</v>
      </c>
      <c r="E47" s="14" t="s">
        <v>1139</v>
      </c>
      <c r="F47" s="14" t="s">
        <v>1140</v>
      </c>
      <c r="G47" s="10">
        <v>0.5</v>
      </c>
      <c r="H47" s="15" t="s">
        <v>28</v>
      </c>
      <c r="I47" s="56" t="s">
        <v>297</v>
      </c>
      <c r="J47" s="14" t="s">
        <v>289</v>
      </c>
    </row>
    <row r="48" spans="1:10" ht="23.25" customHeight="1">
      <c r="A48" s="63" t="s">
        <v>12</v>
      </c>
      <c r="B48" s="63" t="s">
        <v>333</v>
      </c>
      <c r="C48" s="15" t="s">
        <v>242</v>
      </c>
      <c r="D48" s="14" t="s">
        <v>559</v>
      </c>
      <c r="E48" s="14" t="s">
        <v>1141</v>
      </c>
      <c r="F48" s="14" t="s">
        <v>1142</v>
      </c>
      <c r="G48" s="10">
        <v>3</v>
      </c>
      <c r="H48" s="15" t="s">
        <v>28</v>
      </c>
      <c r="I48" s="56" t="s">
        <v>297</v>
      </c>
      <c r="J48" s="14" t="s">
        <v>289</v>
      </c>
    </row>
    <row r="49" spans="1:10" ht="15" customHeight="1">
      <c r="A49" s="63" t="s">
        <v>12</v>
      </c>
      <c r="B49" s="63" t="s">
        <v>333</v>
      </c>
      <c r="C49" s="15" t="s">
        <v>247</v>
      </c>
      <c r="D49" s="14" t="s">
        <v>905</v>
      </c>
      <c r="E49" s="14" t="s">
        <v>1143</v>
      </c>
      <c r="F49" s="14" t="s">
        <v>1144</v>
      </c>
      <c r="G49" s="10">
        <v>0.5</v>
      </c>
      <c r="H49" s="15" t="s">
        <v>30</v>
      </c>
      <c r="I49" s="14" t="s">
        <v>348</v>
      </c>
      <c r="J49" s="14" t="s">
        <v>652</v>
      </c>
    </row>
    <row r="50" spans="1:10" ht="23.25" customHeight="1">
      <c r="A50" s="58" t="s">
        <v>12</v>
      </c>
      <c r="B50" s="58" t="s">
        <v>296</v>
      </c>
      <c r="C50" s="15" t="s">
        <v>247</v>
      </c>
      <c r="D50" s="14" t="s">
        <v>914</v>
      </c>
      <c r="E50" s="14" t="s">
        <v>1145</v>
      </c>
      <c r="F50" s="14" t="s">
        <v>1146</v>
      </c>
      <c r="G50" s="10">
        <v>1</v>
      </c>
      <c r="H50" s="15" t="s">
        <v>30</v>
      </c>
      <c r="I50" s="14" t="s">
        <v>348</v>
      </c>
      <c r="J50" s="14" t="s">
        <v>652</v>
      </c>
    </row>
    <row r="51" spans="1:10" ht="15" customHeight="1">
      <c r="A51" s="58" t="s">
        <v>12</v>
      </c>
      <c r="B51" s="58" t="s">
        <v>296</v>
      </c>
      <c r="C51" s="15" t="s">
        <v>247</v>
      </c>
      <c r="D51" s="14" t="s">
        <v>919</v>
      </c>
      <c r="E51" s="14" t="s">
        <v>1147</v>
      </c>
      <c r="F51" s="14" t="s">
        <v>1148</v>
      </c>
      <c r="G51" s="10">
        <v>2.5</v>
      </c>
      <c r="H51" s="15" t="s">
        <v>30</v>
      </c>
      <c r="I51" s="14" t="s">
        <v>348</v>
      </c>
      <c r="J51" s="14" t="s">
        <v>312</v>
      </c>
    </row>
    <row r="52" spans="1:10" ht="23.25" customHeight="1">
      <c r="A52" s="58" t="s">
        <v>12</v>
      </c>
      <c r="B52" s="58" t="s">
        <v>296</v>
      </c>
      <c r="C52" s="15" t="s">
        <v>247</v>
      </c>
      <c r="D52" s="14" t="s">
        <v>932</v>
      </c>
      <c r="E52" s="14" t="s">
        <v>1149</v>
      </c>
      <c r="F52" s="14" t="s">
        <v>1150</v>
      </c>
      <c r="G52" s="10">
        <v>1</v>
      </c>
      <c r="H52" s="15" t="s">
        <v>30</v>
      </c>
      <c r="I52" s="56" t="s">
        <v>297</v>
      </c>
      <c r="J52" s="14" t="s">
        <v>652</v>
      </c>
    </row>
    <row r="53" spans="1:10" ht="23.25" customHeight="1">
      <c r="A53" s="63" t="s">
        <v>12</v>
      </c>
      <c r="B53" s="63" t="s">
        <v>333</v>
      </c>
      <c r="C53" s="15" t="s">
        <v>247</v>
      </c>
      <c r="D53" s="14" t="s">
        <v>611</v>
      </c>
      <c r="E53" s="14" t="s">
        <v>1151</v>
      </c>
      <c r="F53" s="14" t="s">
        <v>1152</v>
      </c>
      <c r="G53" s="10">
        <v>6</v>
      </c>
      <c r="H53" s="15" t="s">
        <v>28</v>
      </c>
      <c r="I53" s="56" t="s">
        <v>297</v>
      </c>
      <c r="J53" s="14" t="s">
        <v>289</v>
      </c>
    </row>
    <row r="54" spans="1:10" ht="23.25" customHeight="1">
      <c r="A54" s="63" t="s">
        <v>12</v>
      </c>
      <c r="B54" s="63" t="s">
        <v>333</v>
      </c>
      <c r="C54" s="15" t="s">
        <v>26</v>
      </c>
      <c r="D54" s="14" t="s">
        <v>660</v>
      </c>
      <c r="E54" s="14" t="s">
        <v>1153</v>
      </c>
      <c r="F54" s="14" t="s">
        <v>1154</v>
      </c>
      <c r="G54" s="10">
        <v>5</v>
      </c>
      <c r="H54" s="15" t="s">
        <v>28</v>
      </c>
      <c r="I54" s="56" t="s">
        <v>297</v>
      </c>
      <c r="J54" s="14" t="s">
        <v>289</v>
      </c>
    </row>
    <row r="55" spans="1:10" ht="15" customHeight="1">
      <c r="A55" s="63" t="s">
        <v>12</v>
      </c>
      <c r="B55" s="63" t="s">
        <v>333</v>
      </c>
      <c r="C55" s="15" t="s">
        <v>26</v>
      </c>
      <c r="D55" s="14" t="s">
        <v>694</v>
      </c>
      <c r="E55" s="14" t="s">
        <v>1155</v>
      </c>
      <c r="F55" s="14" t="s">
        <v>1156</v>
      </c>
      <c r="G55" s="10">
        <v>2</v>
      </c>
      <c r="H55" s="15" t="s">
        <v>28</v>
      </c>
      <c r="I55" s="56" t="s">
        <v>297</v>
      </c>
      <c r="J55" s="14" t="s">
        <v>312</v>
      </c>
    </row>
    <row r="56" spans="1:10" ht="23.25" customHeight="1">
      <c r="A56" s="63" t="s">
        <v>12</v>
      </c>
      <c r="B56" s="63" t="s">
        <v>333</v>
      </c>
      <c r="C56" s="15" t="s">
        <v>26</v>
      </c>
      <c r="D56" s="14" t="s">
        <v>738</v>
      </c>
      <c r="E56" s="14" t="s">
        <v>1157</v>
      </c>
      <c r="F56" s="14" t="s">
        <v>1158</v>
      </c>
      <c r="G56" s="10">
        <v>3</v>
      </c>
      <c r="H56" s="15" t="s">
        <v>28</v>
      </c>
      <c r="I56" s="56" t="s">
        <v>297</v>
      </c>
      <c r="J56" s="14" t="s">
        <v>312</v>
      </c>
    </row>
    <row r="57" spans="1:10" ht="15" customHeight="1">
      <c r="A57" s="63" t="s">
        <v>12</v>
      </c>
      <c r="B57" s="63" t="s">
        <v>333</v>
      </c>
      <c r="C57" s="15" t="s">
        <v>254</v>
      </c>
      <c r="D57" s="14" t="s">
        <v>767</v>
      </c>
      <c r="E57" s="14" t="s">
        <v>1159</v>
      </c>
      <c r="F57" s="14" t="s">
        <v>1160</v>
      </c>
      <c r="G57" s="10">
        <v>1</v>
      </c>
      <c r="H57" s="15" t="s">
        <v>29</v>
      </c>
      <c r="I57" s="56" t="s">
        <v>297</v>
      </c>
      <c r="J57" s="14" t="s">
        <v>652</v>
      </c>
    </row>
    <row r="58" spans="1:10" ht="23.25" customHeight="1">
      <c r="A58" s="63" t="s">
        <v>12</v>
      </c>
      <c r="B58" s="63" t="s">
        <v>333</v>
      </c>
      <c r="C58" s="15" t="s">
        <v>254</v>
      </c>
      <c r="D58" s="14" t="s">
        <v>801</v>
      </c>
      <c r="E58" s="14" t="s">
        <v>1161</v>
      </c>
      <c r="F58" s="14" t="s">
        <v>1162</v>
      </c>
      <c r="G58" s="10">
        <v>2</v>
      </c>
      <c r="H58" s="15" t="s">
        <v>29</v>
      </c>
      <c r="I58" s="56" t="s">
        <v>297</v>
      </c>
      <c r="J58" s="14" t="s">
        <v>652</v>
      </c>
    </row>
    <row r="59" spans="1:10" ht="15" customHeight="1">
      <c r="A59" s="63" t="s">
        <v>12</v>
      </c>
      <c r="B59" s="63" t="s">
        <v>333</v>
      </c>
      <c r="C59" s="15" t="s">
        <v>254</v>
      </c>
      <c r="D59" s="14" t="s">
        <v>832</v>
      </c>
      <c r="E59" s="14" t="s">
        <v>1163</v>
      </c>
      <c r="F59" s="14" t="s">
        <v>1164</v>
      </c>
      <c r="G59" s="10">
        <v>3</v>
      </c>
      <c r="H59" s="15" t="s">
        <v>29</v>
      </c>
      <c r="I59" s="56" t="s">
        <v>297</v>
      </c>
      <c r="J59" s="14" t="s">
        <v>312</v>
      </c>
    </row>
    <row r="60" spans="1:10" ht="23.25" customHeight="1">
      <c r="A60" s="63" t="s">
        <v>12</v>
      </c>
      <c r="B60" s="63" t="s">
        <v>333</v>
      </c>
      <c r="C60" s="15" t="s">
        <v>254</v>
      </c>
      <c r="D60" s="14" t="s">
        <v>870</v>
      </c>
      <c r="E60" s="14" t="s">
        <v>1165</v>
      </c>
      <c r="F60" s="14" t="s">
        <v>1166</v>
      </c>
      <c r="G60" s="10">
        <v>1</v>
      </c>
      <c r="H60" s="15" t="s">
        <v>30</v>
      </c>
      <c r="I60" s="56" t="s">
        <v>297</v>
      </c>
      <c r="J60" s="14" t="s">
        <v>312</v>
      </c>
    </row>
    <row r="61" spans="1:10" ht="23.25" customHeight="1">
      <c r="A61" s="63" t="s">
        <v>12</v>
      </c>
      <c r="B61" s="63" t="s">
        <v>333</v>
      </c>
      <c r="C61" s="15" t="s">
        <v>254</v>
      </c>
      <c r="D61" s="14" t="s">
        <v>937</v>
      </c>
      <c r="E61" s="14" t="s">
        <v>1167</v>
      </c>
      <c r="F61" s="14" t="s">
        <v>1168</v>
      </c>
      <c r="G61" s="10">
        <v>2</v>
      </c>
      <c r="H61" s="15" t="s">
        <v>30</v>
      </c>
      <c r="I61" s="56" t="s">
        <v>297</v>
      </c>
      <c r="J61" s="14" t="s">
        <v>312</v>
      </c>
    </row>
    <row r="62" spans="1:10" ht="15" customHeight="1">
      <c r="F62" s="71" t="s">
        <v>1169</v>
      </c>
      <c r="G62" s="72">
        <f>SUM(G4:G61)</f>
        <v>102</v>
      </c>
    </row>
    <row r="64" spans="1:10" ht="15" customHeight="1">
      <c r="A64" s="42" t="s">
        <v>47</v>
      </c>
      <c r="B64" s="42" t="s">
        <v>13</v>
      </c>
      <c r="C64" s="15" t="s">
        <v>20</v>
      </c>
      <c r="D64" s="14" t="s">
        <v>54</v>
      </c>
      <c r="E64" s="14" t="s">
        <v>1057</v>
      </c>
      <c r="F64" s="14" t="s">
        <v>1170</v>
      </c>
      <c r="G64" s="10">
        <v>1.5</v>
      </c>
      <c r="H64" s="15" t="s">
        <v>28</v>
      </c>
      <c r="I64" s="14" t="s">
        <v>348</v>
      </c>
      <c r="J64" s="14" t="s">
        <v>289</v>
      </c>
    </row>
    <row r="65" spans="1:10" ht="15" customHeight="1">
      <c r="A65" s="42" t="s">
        <v>47</v>
      </c>
      <c r="B65" s="42" t="s">
        <v>13</v>
      </c>
      <c r="C65" s="15" t="s">
        <v>20</v>
      </c>
      <c r="D65" s="14" t="s">
        <v>356</v>
      </c>
      <c r="E65" s="14" t="s">
        <v>1057</v>
      </c>
      <c r="F65" s="14" t="s">
        <v>1171</v>
      </c>
      <c r="G65" s="10">
        <v>0.5</v>
      </c>
      <c r="H65" s="15" t="s">
        <v>28</v>
      </c>
      <c r="I65" s="14" t="s">
        <v>348</v>
      </c>
      <c r="J65" s="14" t="s">
        <v>289</v>
      </c>
    </row>
    <row r="66" spans="1:10" ht="15" customHeight="1">
      <c r="A66" s="42" t="s">
        <v>47</v>
      </c>
      <c r="B66" s="42" t="s">
        <v>13</v>
      </c>
      <c r="C66" s="15" t="s">
        <v>20</v>
      </c>
      <c r="D66" s="14" t="s">
        <v>65</v>
      </c>
      <c r="E66" s="14" t="s">
        <v>1059</v>
      </c>
      <c r="F66" s="14" t="s">
        <v>1172</v>
      </c>
      <c r="G66" s="10">
        <v>1</v>
      </c>
      <c r="H66" s="15" t="s">
        <v>28</v>
      </c>
      <c r="I66" s="14" t="s">
        <v>348</v>
      </c>
      <c r="J66" s="14" t="s">
        <v>312</v>
      </c>
    </row>
    <row r="67" spans="1:10" ht="15" customHeight="1">
      <c r="A67" s="42" t="s">
        <v>47</v>
      </c>
      <c r="B67" s="42" t="s">
        <v>13</v>
      </c>
      <c r="C67" s="15" t="s">
        <v>20</v>
      </c>
      <c r="D67" s="14" t="s">
        <v>367</v>
      </c>
      <c r="E67" s="14" t="s">
        <v>1059</v>
      </c>
      <c r="F67" s="14" t="s">
        <v>1173</v>
      </c>
      <c r="G67" s="10">
        <v>0.5</v>
      </c>
      <c r="H67" s="15" t="s">
        <v>28</v>
      </c>
      <c r="I67" s="14" t="s">
        <v>348</v>
      </c>
      <c r="J67" s="14" t="s">
        <v>312</v>
      </c>
    </row>
    <row r="68" spans="1:10" ht="15" customHeight="1">
      <c r="A68" s="42" t="s">
        <v>47</v>
      </c>
      <c r="B68" s="42" t="s">
        <v>13</v>
      </c>
      <c r="C68" s="15" t="s">
        <v>20</v>
      </c>
      <c r="D68" s="14" t="s">
        <v>382</v>
      </c>
      <c r="E68" s="14" t="s">
        <v>1061</v>
      </c>
      <c r="F68" s="14" t="s">
        <v>1174</v>
      </c>
      <c r="G68" s="10">
        <v>0.5</v>
      </c>
      <c r="H68" s="15" t="s">
        <v>28</v>
      </c>
      <c r="I68" s="14" t="s">
        <v>348</v>
      </c>
      <c r="J68" s="14" t="s">
        <v>289</v>
      </c>
    </row>
    <row r="69" spans="1:10" ht="15" customHeight="1">
      <c r="A69" s="42" t="s">
        <v>47</v>
      </c>
      <c r="B69" s="42" t="s">
        <v>13</v>
      </c>
      <c r="C69" s="15" t="s">
        <v>20</v>
      </c>
      <c r="D69" s="14" t="s">
        <v>385</v>
      </c>
      <c r="E69" s="14" t="s">
        <v>1061</v>
      </c>
      <c r="F69" s="14" t="s">
        <v>1175</v>
      </c>
      <c r="G69" s="10">
        <v>1</v>
      </c>
      <c r="H69" s="15" t="s">
        <v>28</v>
      </c>
      <c r="I69" s="14" t="s">
        <v>348</v>
      </c>
      <c r="J69" s="14" t="s">
        <v>289</v>
      </c>
    </row>
    <row r="70" spans="1:10" ht="15" customHeight="1">
      <c r="A70" s="42" t="s">
        <v>47</v>
      </c>
      <c r="B70" s="42" t="s">
        <v>13</v>
      </c>
      <c r="C70" s="15" t="s">
        <v>20</v>
      </c>
      <c r="D70" s="14" t="s">
        <v>393</v>
      </c>
      <c r="E70" s="14" t="s">
        <v>1061</v>
      </c>
      <c r="F70" s="14" t="s">
        <v>1176</v>
      </c>
      <c r="G70" s="10">
        <v>0.5</v>
      </c>
      <c r="H70" s="15" t="s">
        <v>28</v>
      </c>
      <c r="I70" s="56" t="s">
        <v>297</v>
      </c>
      <c r="J70" s="14" t="s">
        <v>289</v>
      </c>
    </row>
    <row r="71" spans="1:10" ht="15" customHeight="1">
      <c r="A71" s="42" t="s">
        <v>47</v>
      </c>
      <c r="B71" s="42" t="s">
        <v>13</v>
      </c>
      <c r="C71" s="15" t="s">
        <v>20</v>
      </c>
      <c r="D71" s="14" t="s">
        <v>409</v>
      </c>
      <c r="E71" s="14" t="s">
        <v>1177</v>
      </c>
      <c r="F71" s="14" t="s">
        <v>1178</v>
      </c>
      <c r="G71" s="10">
        <v>3</v>
      </c>
      <c r="H71" s="15" t="s">
        <v>28</v>
      </c>
      <c r="I71" s="14" t="s">
        <v>348</v>
      </c>
      <c r="J71" s="14" t="s">
        <v>289</v>
      </c>
    </row>
    <row r="72" spans="1:10" ht="15" customHeight="1">
      <c r="A72" s="42" t="s">
        <v>47</v>
      </c>
      <c r="B72" s="42" t="s">
        <v>13</v>
      </c>
      <c r="C72" s="15" t="s">
        <v>20</v>
      </c>
      <c r="D72" s="14" t="s">
        <v>413</v>
      </c>
      <c r="E72" s="14" t="s">
        <v>1177</v>
      </c>
      <c r="F72" s="14" t="s">
        <v>1179</v>
      </c>
      <c r="G72" s="10">
        <v>1</v>
      </c>
      <c r="H72" s="15" t="s">
        <v>28</v>
      </c>
      <c r="I72" s="14" t="s">
        <v>348</v>
      </c>
      <c r="J72" s="14" t="s">
        <v>289</v>
      </c>
    </row>
    <row r="73" spans="1:10" ht="15" customHeight="1">
      <c r="A73" s="42" t="s">
        <v>47</v>
      </c>
      <c r="B73" s="42" t="s">
        <v>13</v>
      </c>
      <c r="C73" s="15" t="s">
        <v>20</v>
      </c>
      <c r="D73" s="14" t="s">
        <v>415</v>
      </c>
      <c r="E73" s="14" t="s">
        <v>1177</v>
      </c>
      <c r="F73" s="14" t="s">
        <v>1180</v>
      </c>
      <c r="G73" s="10">
        <v>2</v>
      </c>
      <c r="H73" s="15" t="s">
        <v>28</v>
      </c>
      <c r="I73" s="14" t="s">
        <v>348</v>
      </c>
      <c r="J73" s="14" t="s">
        <v>289</v>
      </c>
    </row>
    <row r="74" spans="1:10" ht="23.25" customHeight="1">
      <c r="A74" s="42" t="s">
        <v>47</v>
      </c>
      <c r="B74" s="42" t="s">
        <v>13</v>
      </c>
      <c r="C74" s="15" t="s">
        <v>21</v>
      </c>
      <c r="D74" s="14" t="s">
        <v>425</v>
      </c>
      <c r="E74" s="14" t="s">
        <v>1181</v>
      </c>
      <c r="F74" s="14" t="s">
        <v>1182</v>
      </c>
      <c r="G74" s="10">
        <v>2</v>
      </c>
      <c r="H74" s="15" t="s">
        <v>28</v>
      </c>
      <c r="I74" s="14" t="s">
        <v>348</v>
      </c>
      <c r="J74" s="14" t="s">
        <v>289</v>
      </c>
    </row>
    <row r="75" spans="1:10" ht="23.25" customHeight="1">
      <c r="A75" s="42" t="s">
        <v>47</v>
      </c>
      <c r="B75" s="42" t="s">
        <v>13</v>
      </c>
      <c r="C75" s="15" t="s">
        <v>21</v>
      </c>
      <c r="D75" s="14" t="s">
        <v>427</v>
      </c>
      <c r="E75" s="14" t="s">
        <v>1181</v>
      </c>
      <c r="F75" s="14" t="s">
        <v>1183</v>
      </c>
      <c r="G75" s="10">
        <v>2</v>
      </c>
      <c r="H75" s="15" t="s">
        <v>28</v>
      </c>
      <c r="I75" s="14" t="s">
        <v>348</v>
      </c>
      <c r="J75" s="14" t="s">
        <v>289</v>
      </c>
    </row>
    <row r="76" spans="1:10" ht="15" customHeight="1">
      <c r="A76" s="42" t="s">
        <v>47</v>
      </c>
      <c r="B76" s="42" t="s">
        <v>13</v>
      </c>
      <c r="C76" s="15" t="s">
        <v>21</v>
      </c>
      <c r="D76" s="14" t="s">
        <v>432</v>
      </c>
      <c r="E76" s="14" t="s">
        <v>1184</v>
      </c>
      <c r="F76" s="14" t="s">
        <v>1185</v>
      </c>
      <c r="G76" s="10">
        <v>1.5</v>
      </c>
      <c r="H76" s="15" t="s">
        <v>28</v>
      </c>
      <c r="I76" s="14" t="s">
        <v>348</v>
      </c>
      <c r="J76" s="14" t="s">
        <v>312</v>
      </c>
    </row>
    <row r="77" spans="1:10" ht="15" customHeight="1">
      <c r="A77" s="42" t="s">
        <v>47</v>
      </c>
      <c r="B77" s="42" t="s">
        <v>13</v>
      </c>
      <c r="C77" s="15" t="s">
        <v>21</v>
      </c>
      <c r="D77" s="14" t="s">
        <v>435</v>
      </c>
      <c r="E77" s="14" t="s">
        <v>1184</v>
      </c>
      <c r="F77" s="14" t="s">
        <v>1186</v>
      </c>
      <c r="G77" s="10">
        <v>1.5</v>
      </c>
      <c r="H77" s="15" t="s">
        <v>28</v>
      </c>
      <c r="I77" s="14" t="s">
        <v>348</v>
      </c>
      <c r="J77" s="14" t="s">
        <v>312</v>
      </c>
    </row>
    <row r="78" spans="1:10" ht="23.25" customHeight="1">
      <c r="A78" s="42" t="s">
        <v>47</v>
      </c>
      <c r="B78" s="42" t="s">
        <v>13</v>
      </c>
      <c r="C78" s="15" t="s">
        <v>21</v>
      </c>
      <c r="D78" s="14" t="s">
        <v>453</v>
      </c>
      <c r="E78" s="14" t="s">
        <v>1187</v>
      </c>
      <c r="F78" s="14" t="s">
        <v>1188</v>
      </c>
      <c r="G78" s="10">
        <v>1</v>
      </c>
      <c r="H78" s="15" t="s">
        <v>28</v>
      </c>
      <c r="I78" s="14" t="s">
        <v>348</v>
      </c>
      <c r="J78" s="14" t="s">
        <v>312</v>
      </c>
    </row>
    <row r="79" spans="1:10" ht="23.25" customHeight="1">
      <c r="A79" s="42" t="s">
        <v>47</v>
      </c>
      <c r="B79" s="42" t="s">
        <v>13</v>
      </c>
      <c r="C79" s="15" t="s">
        <v>21</v>
      </c>
      <c r="D79" s="14" t="s">
        <v>455</v>
      </c>
      <c r="E79" s="14" t="s">
        <v>1187</v>
      </c>
      <c r="F79" s="14" t="s">
        <v>1189</v>
      </c>
      <c r="G79" s="10">
        <v>1.5</v>
      </c>
      <c r="H79" s="15" t="s">
        <v>28</v>
      </c>
      <c r="I79" s="14" t="s">
        <v>348</v>
      </c>
      <c r="J79" s="14" t="s">
        <v>312</v>
      </c>
    </row>
    <row r="80" spans="1:10" ht="23.25" customHeight="1">
      <c r="A80" s="42" t="s">
        <v>47</v>
      </c>
      <c r="B80" s="42" t="s">
        <v>13</v>
      </c>
      <c r="C80" s="15" t="s">
        <v>21</v>
      </c>
      <c r="D80" s="14" t="s">
        <v>508</v>
      </c>
      <c r="E80" s="14" t="s">
        <v>1066</v>
      </c>
      <c r="F80" s="14" t="s">
        <v>1190</v>
      </c>
      <c r="G80" s="10">
        <v>2</v>
      </c>
      <c r="H80" s="15" t="s">
        <v>28</v>
      </c>
      <c r="I80" s="56" t="s">
        <v>297</v>
      </c>
      <c r="J80" s="14" t="s">
        <v>289</v>
      </c>
    </row>
    <row r="81" spans="1:10" ht="15" customHeight="1">
      <c r="A81" s="42" t="s">
        <v>47</v>
      </c>
      <c r="B81" s="42" t="s">
        <v>13</v>
      </c>
      <c r="C81" s="15" t="s">
        <v>21</v>
      </c>
      <c r="D81" s="14" t="s">
        <v>517</v>
      </c>
      <c r="E81" s="14" t="s">
        <v>1068</v>
      </c>
      <c r="F81" s="14" t="s">
        <v>1191</v>
      </c>
      <c r="G81" s="10">
        <v>2</v>
      </c>
      <c r="H81" s="15" t="s">
        <v>28</v>
      </c>
      <c r="I81" s="56" t="s">
        <v>297</v>
      </c>
      <c r="J81" s="14" t="s">
        <v>289</v>
      </c>
    </row>
    <row r="82" spans="1:10" ht="15" customHeight="1">
      <c r="A82" s="42" t="s">
        <v>47</v>
      </c>
      <c r="B82" s="42" t="s">
        <v>13</v>
      </c>
      <c r="C82" s="15" t="s">
        <v>21</v>
      </c>
      <c r="D82" s="14" t="s">
        <v>521</v>
      </c>
      <c r="E82" s="14" t="s">
        <v>1068</v>
      </c>
      <c r="F82" s="14" t="s">
        <v>1192</v>
      </c>
      <c r="G82" s="10">
        <v>0.5</v>
      </c>
      <c r="H82" s="15" t="s">
        <v>28</v>
      </c>
      <c r="I82" s="56" t="s">
        <v>297</v>
      </c>
      <c r="J82" s="14" t="s">
        <v>289</v>
      </c>
    </row>
    <row r="83" spans="1:10" ht="15" customHeight="1">
      <c r="A83" s="42" t="s">
        <v>47</v>
      </c>
      <c r="B83" s="42" t="s">
        <v>13</v>
      </c>
      <c r="C83" s="15" t="s">
        <v>22</v>
      </c>
      <c r="D83" s="14" t="s">
        <v>498</v>
      </c>
      <c r="E83" s="14" t="s">
        <v>1070</v>
      </c>
      <c r="F83" s="14" t="s">
        <v>1193</v>
      </c>
      <c r="G83" s="10">
        <v>1</v>
      </c>
      <c r="H83" s="15" t="s">
        <v>28</v>
      </c>
      <c r="I83" s="14" t="s">
        <v>348</v>
      </c>
      <c r="J83" s="14" t="s">
        <v>312</v>
      </c>
    </row>
    <row r="84" spans="1:10" ht="15" customHeight="1">
      <c r="A84" s="42" t="s">
        <v>47</v>
      </c>
      <c r="B84" s="42" t="s">
        <v>13</v>
      </c>
      <c r="C84" s="15" t="s">
        <v>22</v>
      </c>
      <c r="D84" s="14" t="s">
        <v>568</v>
      </c>
      <c r="E84" s="14" t="s">
        <v>1072</v>
      </c>
      <c r="F84" s="14" t="s">
        <v>1194</v>
      </c>
      <c r="G84" s="10">
        <v>1.5</v>
      </c>
      <c r="H84" s="15" t="s">
        <v>28</v>
      </c>
      <c r="I84" s="14" t="s">
        <v>348</v>
      </c>
      <c r="J84" s="14" t="s">
        <v>289</v>
      </c>
    </row>
    <row r="85" spans="1:10" ht="15" customHeight="1">
      <c r="A85" s="42" t="s">
        <v>47</v>
      </c>
      <c r="B85" s="42" t="s">
        <v>13</v>
      </c>
      <c r="C85" s="15" t="s">
        <v>22</v>
      </c>
      <c r="D85" s="14" t="s">
        <v>570</v>
      </c>
      <c r="E85" s="14" t="s">
        <v>1072</v>
      </c>
      <c r="F85" s="14" t="s">
        <v>1195</v>
      </c>
      <c r="G85" s="10">
        <v>3</v>
      </c>
      <c r="H85" s="15" t="s">
        <v>28</v>
      </c>
      <c r="I85" s="14" t="s">
        <v>348</v>
      </c>
      <c r="J85" s="14" t="s">
        <v>289</v>
      </c>
    </row>
    <row r="86" spans="1:10" ht="15" customHeight="1">
      <c r="A86" s="42" t="s">
        <v>47</v>
      </c>
      <c r="B86" s="42" t="s">
        <v>13</v>
      </c>
      <c r="C86" s="15" t="s">
        <v>22</v>
      </c>
      <c r="D86" s="14" t="s">
        <v>577</v>
      </c>
      <c r="E86" s="14" t="s">
        <v>1074</v>
      </c>
      <c r="F86" s="14" t="s">
        <v>1196</v>
      </c>
      <c r="G86" s="10">
        <v>1</v>
      </c>
      <c r="H86" s="15" t="s">
        <v>28</v>
      </c>
      <c r="I86" s="14" t="s">
        <v>348</v>
      </c>
      <c r="J86" s="14" t="s">
        <v>289</v>
      </c>
    </row>
    <row r="87" spans="1:10" ht="15" customHeight="1">
      <c r="A87" s="42" t="s">
        <v>47</v>
      </c>
      <c r="B87" s="42" t="s">
        <v>13</v>
      </c>
      <c r="C87" s="15" t="s">
        <v>22</v>
      </c>
      <c r="D87" s="14" t="s">
        <v>579</v>
      </c>
      <c r="E87" s="14" t="s">
        <v>1074</v>
      </c>
      <c r="F87" s="14" t="s">
        <v>1197</v>
      </c>
      <c r="G87" s="10">
        <v>2.5</v>
      </c>
      <c r="H87" s="15" t="s">
        <v>28</v>
      </c>
      <c r="I87" s="14" t="s">
        <v>348</v>
      </c>
      <c r="J87" s="14" t="s">
        <v>289</v>
      </c>
    </row>
    <row r="88" spans="1:10" ht="23.25" customHeight="1">
      <c r="A88" s="42" t="s">
        <v>47</v>
      </c>
      <c r="B88" s="42" t="s">
        <v>13</v>
      </c>
      <c r="C88" s="15" t="s">
        <v>22</v>
      </c>
      <c r="D88" s="14" t="s">
        <v>530</v>
      </c>
      <c r="E88" s="14" t="s">
        <v>1076</v>
      </c>
      <c r="F88" s="14" t="s">
        <v>1198</v>
      </c>
      <c r="G88" s="10">
        <v>1.5</v>
      </c>
      <c r="H88" s="15" t="s">
        <v>28</v>
      </c>
      <c r="I88" s="56" t="s">
        <v>297</v>
      </c>
      <c r="J88" s="14" t="s">
        <v>289</v>
      </c>
    </row>
    <row r="89" spans="1:10" ht="15" customHeight="1">
      <c r="A89" s="42" t="s">
        <v>47</v>
      </c>
      <c r="B89" s="42" t="s">
        <v>13</v>
      </c>
      <c r="C89" s="15" t="s">
        <v>22</v>
      </c>
      <c r="D89" s="14" t="s">
        <v>537</v>
      </c>
      <c r="E89" s="14" t="s">
        <v>1078</v>
      </c>
      <c r="F89" s="14" t="s">
        <v>1199</v>
      </c>
      <c r="G89" s="10">
        <v>2.5</v>
      </c>
      <c r="H89" s="15" t="s">
        <v>28</v>
      </c>
      <c r="I89" s="56" t="s">
        <v>297</v>
      </c>
      <c r="J89" s="14" t="s">
        <v>289</v>
      </c>
    </row>
    <row r="90" spans="1:10" ht="15" customHeight="1">
      <c r="A90" s="42" t="s">
        <v>47</v>
      </c>
      <c r="B90" s="42" t="s">
        <v>13</v>
      </c>
      <c r="C90" s="15" t="s">
        <v>22</v>
      </c>
      <c r="D90" s="14" t="s">
        <v>541</v>
      </c>
      <c r="E90" s="14" t="s">
        <v>1078</v>
      </c>
      <c r="F90" s="14" t="s">
        <v>1200</v>
      </c>
      <c r="G90" s="10">
        <v>0.5</v>
      </c>
      <c r="H90" s="15" t="s">
        <v>28</v>
      </c>
      <c r="I90" s="56" t="s">
        <v>297</v>
      </c>
      <c r="J90" s="14" t="s">
        <v>289</v>
      </c>
    </row>
    <row r="91" spans="1:10" ht="15" customHeight="1">
      <c r="A91" s="42" t="s">
        <v>47</v>
      </c>
      <c r="B91" s="42" t="s">
        <v>13</v>
      </c>
      <c r="C91" s="15" t="s">
        <v>23</v>
      </c>
      <c r="D91" s="14" t="s">
        <v>440</v>
      </c>
      <c r="E91" s="14" t="s">
        <v>1201</v>
      </c>
      <c r="F91" s="14" t="s">
        <v>1202</v>
      </c>
      <c r="G91" s="10">
        <v>2</v>
      </c>
      <c r="H91" s="15" t="s">
        <v>28</v>
      </c>
      <c r="I91" s="14" t="s">
        <v>348</v>
      </c>
      <c r="J91" s="14" t="s">
        <v>312</v>
      </c>
    </row>
    <row r="92" spans="1:10" ht="15" customHeight="1">
      <c r="A92" s="42" t="s">
        <v>47</v>
      </c>
      <c r="B92" s="42" t="s">
        <v>13</v>
      </c>
      <c r="C92" s="15" t="s">
        <v>23</v>
      </c>
      <c r="D92" s="14" t="s">
        <v>442</v>
      </c>
      <c r="E92" s="14" t="s">
        <v>1201</v>
      </c>
      <c r="F92" s="14" t="s">
        <v>1203</v>
      </c>
      <c r="G92" s="10">
        <v>1</v>
      </c>
      <c r="H92" s="15" t="s">
        <v>28</v>
      </c>
      <c r="I92" s="14" t="s">
        <v>348</v>
      </c>
      <c r="J92" s="14" t="s">
        <v>312</v>
      </c>
    </row>
    <row r="93" spans="1:10" ht="15" customHeight="1">
      <c r="A93" s="42" t="s">
        <v>47</v>
      </c>
      <c r="B93" s="42" t="s">
        <v>13</v>
      </c>
      <c r="C93" s="15" t="s">
        <v>23</v>
      </c>
      <c r="D93" s="14" t="s">
        <v>586</v>
      </c>
      <c r="E93" s="14" t="s">
        <v>1080</v>
      </c>
      <c r="F93" s="14" t="s">
        <v>1204</v>
      </c>
      <c r="G93" s="10">
        <v>1</v>
      </c>
      <c r="H93" s="15" t="s">
        <v>28</v>
      </c>
      <c r="I93" s="14" t="s">
        <v>348</v>
      </c>
      <c r="J93" s="14" t="s">
        <v>289</v>
      </c>
    </row>
    <row r="94" spans="1:10" ht="15" customHeight="1">
      <c r="A94" s="42" t="s">
        <v>47</v>
      </c>
      <c r="B94" s="42" t="s">
        <v>13</v>
      </c>
      <c r="C94" s="15" t="s">
        <v>23</v>
      </c>
      <c r="D94" s="14" t="s">
        <v>588</v>
      </c>
      <c r="E94" s="14" t="s">
        <v>1080</v>
      </c>
      <c r="F94" s="14" t="s">
        <v>1205</v>
      </c>
      <c r="G94" s="10">
        <v>3</v>
      </c>
      <c r="H94" s="15" t="s">
        <v>28</v>
      </c>
      <c r="I94" s="14" t="s">
        <v>348</v>
      </c>
      <c r="J94" s="14" t="s">
        <v>289</v>
      </c>
    </row>
    <row r="95" spans="1:10" ht="23.25" customHeight="1">
      <c r="A95" s="42" t="s">
        <v>47</v>
      </c>
      <c r="B95" s="42" t="s">
        <v>13</v>
      </c>
      <c r="C95" s="15" t="s">
        <v>23</v>
      </c>
      <c r="D95" s="14" t="s">
        <v>595</v>
      </c>
      <c r="E95" s="14" t="s">
        <v>1082</v>
      </c>
      <c r="F95" s="14" t="s">
        <v>1206</v>
      </c>
      <c r="G95" s="10">
        <v>1.5</v>
      </c>
      <c r="H95" s="15" t="s">
        <v>28</v>
      </c>
      <c r="I95" s="14" t="s">
        <v>348</v>
      </c>
      <c r="J95" s="14" t="s">
        <v>289</v>
      </c>
    </row>
    <row r="96" spans="1:10" ht="23.25" customHeight="1">
      <c r="A96" s="42" t="s">
        <v>47</v>
      </c>
      <c r="B96" s="42" t="s">
        <v>13</v>
      </c>
      <c r="C96" s="15" t="s">
        <v>23</v>
      </c>
      <c r="D96" s="14" t="s">
        <v>599</v>
      </c>
      <c r="E96" s="14" t="s">
        <v>1082</v>
      </c>
      <c r="F96" s="14" t="s">
        <v>1207</v>
      </c>
      <c r="G96" s="10">
        <v>1</v>
      </c>
      <c r="H96" s="15" t="s">
        <v>28</v>
      </c>
      <c r="I96" s="14" t="s">
        <v>348</v>
      </c>
      <c r="J96" s="14" t="s">
        <v>289</v>
      </c>
    </row>
    <row r="97" spans="1:10" ht="23.25" customHeight="1">
      <c r="A97" s="42" t="s">
        <v>47</v>
      </c>
      <c r="B97" s="42" t="s">
        <v>13</v>
      </c>
      <c r="C97" s="15" t="s">
        <v>23</v>
      </c>
      <c r="D97" s="14" t="s">
        <v>669</v>
      </c>
      <c r="E97" s="14" t="s">
        <v>1084</v>
      </c>
      <c r="F97" s="14" t="s">
        <v>1208</v>
      </c>
      <c r="G97" s="10">
        <v>1</v>
      </c>
      <c r="H97" s="15" t="s">
        <v>28</v>
      </c>
      <c r="I97" s="14" t="s">
        <v>348</v>
      </c>
      <c r="J97" s="14" t="s">
        <v>312</v>
      </c>
    </row>
    <row r="98" spans="1:10" ht="15" customHeight="1">
      <c r="A98" s="42" t="s">
        <v>47</v>
      </c>
      <c r="B98" s="42" t="s">
        <v>13</v>
      </c>
      <c r="C98" s="15" t="s">
        <v>23</v>
      </c>
      <c r="D98" s="14" t="s">
        <v>676</v>
      </c>
      <c r="E98" s="14" t="s">
        <v>1086</v>
      </c>
      <c r="F98" s="14" t="s">
        <v>1209</v>
      </c>
      <c r="G98" s="10">
        <v>0.5</v>
      </c>
      <c r="H98" s="15" t="s">
        <v>28</v>
      </c>
      <c r="I98" s="14" t="s">
        <v>348</v>
      </c>
      <c r="J98" s="14" t="s">
        <v>312</v>
      </c>
    </row>
    <row r="99" spans="1:10" ht="15" customHeight="1">
      <c r="A99" s="42" t="s">
        <v>47</v>
      </c>
      <c r="B99" s="42" t="s">
        <v>13</v>
      </c>
      <c r="C99" s="15" t="s">
        <v>23</v>
      </c>
      <c r="D99" s="14" t="s">
        <v>678</v>
      </c>
      <c r="E99" s="14" t="s">
        <v>1086</v>
      </c>
      <c r="F99" s="14" t="s">
        <v>1210</v>
      </c>
      <c r="G99" s="10">
        <v>1.5</v>
      </c>
      <c r="H99" s="15" t="s">
        <v>28</v>
      </c>
      <c r="I99" s="14" t="s">
        <v>348</v>
      </c>
      <c r="J99" s="14" t="s">
        <v>312</v>
      </c>
    </row>
    <row r="100" spans="1:10" ht="15" customHeight="1">
      <c r="A100" s="42" t="s">
        <v>47</v>
      </c>
      <c r="B100" s="42" t="s">
        <v>13</v>
      </c>
      <c r="C100" s="15" t="s">
        <v>23</v>
      </c>
      <c r="D100" s="14" t="s">
        <v>604</v>
      </c>
      <c r="E100" s="14" t="s">
        <v>1088</v>
      </c>
      <c r="F100" s="14" t="s">
        <v>1211</v>
      </c>
      <c r="G100" s="10">
        <v>1.5</v>
      </c>
      <c r="H100" s="15" t="s">
        <v>28</v>
      </c>
      <c r="I100" s="56" t="s">
        <v>297</v>
      </c>
      <c r="J100" s="14" t="s">
        <v>289</v>
      </c>
    </row>
    <row r="101" spans="1:10" ht="23.25" customHeight="1">
      <c r="A101" s="42" t="s">
        <v>47</v>
      </c>
      <c r="B101" s="42" t="s">
        <v>13</v>
      </c>
      <c r="C101" s="15" t="s">
        <v>24</v>
      </c>
      <c r="D101" s="14" t="s">
        <v>462</v>
      </c>
      <c r="E101" s="14" t="s">
        <v>1090</v>
      </c>
      <c r="F101" s="14" t="s">
        <v>1212</v>
      </c>
      <c r="G101" s="10">
        <v>1.5</v>
      </c>
      <c r="H101" s="15" t="s">
        <v>28</v>
      </c>
      <c r="I101" s="14" t="s">
        <v>348</v>
      </c>
      <c r="J101" s="14" t="s">
        <v>312</v>
      </c>
    </row>
    <row r="102" spans="1:10" ht="23.25" customHeight="1">
      <c r="A102" s="42" t="s">
        <v>47</v>
      </c>
      <c r="B102" s="42" t="s">
        <v>13</v>
      </c>
      <c r="C102" s="15" t="s">
        <v>24</v>
      </c>
      <c r="D102" s="14" t="s">
        <v>465</v>
      </c>
      <c r="E102" s="14" t="s">
        <v>1090</v>
      </c>
      <c r="F102" s="14" t="s">
        <v>1213</v>
      </c>
      <c r="G102" s="10">
        <v>1</v>
      </c>
      <c r="H102" s="15" t="s">
        <v>28</v>
      </c>
      <c r="I102" s="14" t="s">
        <v>348</v>
      </c>
      <c r="J102" s="14" t="s">
        <v>312</v>
      </c>
    </row>
    <row r="103" spans="1:10" ht="23.25" customHeight="1">
      <c r="A103" s="42" t="s">
        <v>47</v>
      </c>
      <c r="B103" s="42" t="s">
        <v>13</v>
      </c>
      <c r="C103" s="15" t="s">
        <v>24</v>
      </c>
      <c r="D103" s="14" t="s">
        <v>70</v>
      </c>
      <c r="E103" s="14" t="s">
        <v>1090</v>
      </c>
      <c r="F103" s="14" t="s">
        <v>1214</v>
      </c>
      <c r="G103" s="10">
        <v>1</v>
      </c>
      <c r="H103" s="15" t="s">
        <v>28</v>
      </c>
      <c r="I103" s="14" t="s">
        <v>348</v>
      </c>
      <c r="J103" s="14" t="s">
        <v>312</v>
      </c>
    </row>
    <row r="104" spans="1:10" ht="23.25" customHeight="1">
      <c r="A104" s="42" t="s">
        <v>47</v>
      </c>
      <c r="B104" s="42" t="s">
        <v>13</v>
      </c>
      <c r="C104" s="15" t="s">
        <v>24</v>
      </c>
      <c r="D104" s="14" t="s">
        <v>621</v>
      </c>
      <c r="E104" s="14" t="s">
        <v>1092</v>
      </c>
      <c r="F104" s="14" t="s">
        <v>1215</v>
      </c>
      <c r="G104" s="10">
        <v>3</v>
      </c>
      <c r="H104" s="15" t="s">
        <v>28</v>
      </c>
      <c r="I104" s="56" t="s">
        <v>297</v>
      </c>
      <c r="J104" s="14" t="s">
        <v>289</v>
      </c>
    </row>
    <row r="105" spans="1:10" ht="23.25" customHeight="1">
      <c r="A105" s="42" t="s">
        <v>47</v>
      </c>
      <c r="B105" s="42" t="s">
        <v>13</v>
      </c>
      <c r="C105" s="15" t="s">
        <v>24</v>
      </c>
      <c r="D105" s="14" t="s">
        <v>623</v>
      </c>
      <c r="E105" s="14" t="s">
        <v>1092</v>
      </c>
      <c r="F105" s="14" t="s">
        <v>1216</v>
      </c>
      <c r="G105" s="10">
        <v>1.5</v>
      </c>
      <c r="H105" s="15" t="s">
        <v>28</v>
      </c>
      <c r="I105" s="56" t="s">
        <v>297</v>
      </c>
      <c r="J105" s="14" t="s">
        <v>289</v>
      </c>
    </row>
    <row r="106" spans="1:10" ht="23.25" customHeight="1">
      <c r="A106" s="42" t="s">
        <v>47</v>
      </c>
      <c r="B106" s="42" t="s">
        <v>13</v>
      </c>
      <c r="C106" s="15" t="s">
        <v>24</v>
      </c>
      <c r="D106" s="14" t="s">
        <v>630</v>
      </c>
      <c r="E106" s="14" t="s">
        <v>1094</v>
      </c>
      <c r="F106" s="14" t="s">
        <v>1217</v>
      </c>
      <c r="G106" s="10">
        <v>2</v>
      </c>
      <c r="H106" s="15" t="s">
        <v>28</v>
      </c>
      <c r="I106" s="56" t="s">
        <v>297</v>
      </c>
      <c r="J106" s="14" t="s">
        <v>312</v>
      </c>
    </row>
    <row r="107" spans="1:10" ht="23.25" customHeight="1">
      <c r="A107" s="42" t="s">
        <v>47</v>
      </c>
      <c r="B107" s="42" t="s">
        <v>13</v>
      </c>
      <c r="C107" s="15" t="s">
        <v>24</v>
      </c>
      <c r="D107" s="14" t="s">
        <v>637</v>
      </c>
      <c r="E107" s="14" t="s">
        <v>1096</v>
      </c>
      <c r="F107" s="14" t="s">
        <v>1218</v>
      </c>
      <c r="G107" s="10">
        <v>2.5</v>
      </c>
      <c r="H107" s="15" t="s">
        <v>28</v>
      </c>
      <c r="I107" s="56" t="s">
        <v>297</v>
      </c>
      <c r="J107" s="14" t="s">
        <v>289</v>
      </c>
    </row>
    <row r="108" spans="1:10" ht="15" customHeight="1">
      <c r="A108" s="42" t="s">
        <v>47</v>
      </c>
      <c r="B108" s="42" t="s">
        <v>13</v>
      </c>
      <c r="C108" s="15" t="s">
        <v>231</v>
      </c>
      <c r="D108" s="14" t="s">
        <v>704</v>
      </c>
      <c r="E108" s="14" t="s">
        <v>1098</v>
      </c>
      <c r="F108" s="14" t="s">
        <v>1219</v>
      </c>
      <c r="G108" s="10">
        <v>1.5</v>
      </c>
      <c r="H108" s="15" t="s">
        <v>28</v>
      </c>
      <c r="I108" s="14" t="s">
        <v>348</v>
      </c>
      <c r="J108" s="14" t="s">
        <v>312</v>
      </c>
    </row>
    <row r="109" spans="1:10" ht="15" customHeight="1">
      <c r="A109" s="42" t="s">
        <v>47</v>
      </c>
      <c r="B109" s="42" t="s">
        <v>13</v>
      </c>
      <c r="C109" s="15" t="s">
        <v>231</v>
      </c>
      <c r="D109" s="14" t="s">
        <v>706</v>
      </c>
      <c r="E109" s="14" t="s">
        <v>1098</v>
      </c>
      <c r="F109" s="14" t="s">
        <v>1220</v>
      </c>
      <c r="G109" s="10">
        <v>2.5</v>
      </c>
      <c r="H109" s="15" t="s">
        <v>28</v>
      </c>
      <c r="I109" s="14" t="s">
        <v>348</v>
      </c>
      <c r="J109" s="14" t="s">
        <v>312</v>
      </c>
    </row>
    <row r="110" spans="1:10" ht="15" customHeight="1">
      <c r="A110" s="42" t="s">
        <v>47</v>
      </c>
      <c r="B110" s="42" t="s">
        <v>13</v>
      </c>
      <c r="C110" s="15" t="s">
        <v>231</v>
      </c>
      <c r="D110" s="14" t="s">
        <v>843</v>
      </c>
      <c r="E110" s="14" t="s">
        <v>1221</v>
      </c>
      <c r="F110" s="14" t="s">
        <v>1222</v>
      </c>
      <c r="G110" s="10">
        <v>1.5</v>
      </c>
      <c r="H110" s="15" t="s">
        <v>30</v>
      </c>
      <c r="I110" s="14" t="s">
        <v>348</v>
      </c>
      <c r="J110" s="14" t="s">
        <v>312</v>
      </c>
    </row>
    <row r="111" spans="1:10" ht="23.25" customHeight="1">
      <c r="A111" s="42" t="s">
        <v>47</v>
      </c>
      <c r="B111" s="42" t="s">
        <v>13</v>
      </c>
      <c r="C111" s="15" t="s">
        <v>231</v>
      </c>
      <c r="D111" s="14" t="s">
        <v>685</v>
      </c>
      <c r="E111" s="14" t="s">
        <v>1100</v>
      </c>
      <c r="F111" s="14" t="s">
        <v>1223</v>
      </c>
      <c r="G111" s="10">
        <v>2.5</v>
      </c>
      <c r="H111" s="15" t="s">
        <v>28</v>
      </c>
      <c r="I111" s="56" t="s">
        <v>297</v>
      </c>
      <c r="J111" s="14" t="s">
        <v>312</v>
      </c>
    </row>
    <row r="112" spans="1:10" ht="23.25" customHeight="1">
      <c r="A112" s="42" t="s">
        <v>47</v>
      </c>
      <c r="B112" s="42" t="s">
        <v>13</v>
      </c>
      <c r="C112" s="15" t="s">
        <v>231</v>
      </c>
      <c r="D112" s="14" t="s">
        <v>645</v>
      </c>
      <c r="E112" s="14" t="s">
        <v>1102</v>
      </c>
      <c r="F112" s="14" t="s">
        <v>1224</v>
      </c>
      <c r="G112" s="10">
        <v>3</v>
      </c>
      <c r="H112" s="15" t="s">
        <v>28</v>
      </c>
      <c r="I112" s="56" t="s">
        <v>297</v>
      </c>
      <c r="J112" s="14" t="s">
        <v>289</v>
      </c>
    </row>
    <row r="113" spans="1:10" ht="15" customHeight="1">
      <c r="A113" s="42" t="s">
        <v>47</v>
      </c>
      <c r="B113" s="42" t="s">
        <v>13</v>
      </c>
      <c r="C113" s="15" t="s">
        <v>231</v>
      </c>
      <c r="D113" s="14" t="s">
        <v>653</v>
      </c>
      <c r="E113" s="14" t="s">
        <v>1104</v>
      </c>
      <c r="F113" s="14" t="s">
        <v>1225</v>
      </c>
      <c r="G113" s="10">
        <v>1</v>
      </c>
      <c r="H113" s="15" t="s">
        <v>28</v>
      </c>
      <c r="I113" s="56" t="s">
        <v>297</v>
      </c>
      <c r="J113" s="14" t="s">
        <v>652</v>
      </c>
    </row>
    <row r="114" spans="1:10" ht="15" customHeight="1">
      <c r="A114" s="42" t="s">
        <v>47</v>
      </c>
      <c r="B114" s="42" t="s">
        <v>13</v>
      </c>
      <c r="C114" s="15" t="s">
        <v>25</v>
      </c>
      <c r="D114" s="14" t="s">
        <v>713</v>
      </c>
      <c r="E114" s="14" t="s">
        <v>1106</v>
      </c>
      <c r="F114" s="14" t="s">
        <v>1226</v>
      </c>
      <c r="G114" s="10">
        <v>3.5</v>
      </c>
      <c r="H114" s="15" t="s">
        <v>28</v>
      </c>
      <c r="I114" s="14" t="s">
        <v>348</v>
      </c>
      <c r="J114" s="14" t="s">
        <v>312</v>
      </c>
    </row>
    <row r="115" spans="1:10" ht="15" customHeight="1">
      <c r="A115" s="42" t="s">
        <v>47</v>
      </c>
      <c r="B115" s="42" t="s">
        <v>13</v>
      </c>
      <c r="C115" s="15" t="s">
        <v>25</v>
      </c>
      <c r="D115" s="14" t="s">
        <v>717</v>
      </c>
      <c r="E115" s="14" t="s">
        <v>1106</v>
      </c>
      <c r="F115" s="14" t="s">
        <v>1227</v>
      </c>
      <c r="G115" s="10">
        <v>0.5</v>
      </c>
      <c r="H115" s="15" t="s">
        <v>28</v>
      </c>
      <c r="I115" s="14" t="s">
        <v>348</v>
      </c>
      <c r="J115" s="14" t="s">
        <v>312</v>
      </c>
    </row>
    <row r="116" spans="1:10" ht="15" customHeight="1">
      <c r="A116" s="42" t="s">
        <v>47</v>
      </c>
      <c r="B116" s="42" t="s">
        <v>13</v>
      </c>
      <c r="C116" s="15" t="s">
        <v>25</v>
      </c>
      <c r="D116" s="14" t="s">
        <v>719</v>
      </c>
      <c r="E116" s="14" t="s">
        <v>1106</v>
      </c>
      <c r="F116" s="14" t="s">
        <v>1228</v>
      </c>
      <c r="G116" s="10">
        <v>1</v>
      </c>
      <c r="H116" s="15" t="s">
        <v>28</v>
      </c>
      <c r="I116" s="14" t="s">
        <v>348</v>
      </c>
      <c r="J116" s="14" t="s">
        <v>312</v>
      </c>
    </row>
    <row r="117" spans="1:10" ht="15" customHeight="1">
      <c r="A117" s="42" t="s">
        <v>47</v>
      </c>
      <c r="B117" s="42" t="s">
        <v>13</v>
      </c>
      <c r="C117" s="15" t="s">
        <v>25</v>
      </c>
      <c r="D117" s="14" t="s">
        <v>724</v>
      </c>
      <c r="E117" s="14" t="s">
        <v>1108</v>
      </c>
      <c r="F117" s="14" t="s">
        <v>1229</v>
      </c>
      <c r="G117" s="10">
        <v>1</v>
      </c>
      <c r="H117" s="15" t="s">
        <v>28</v>
      </c>
      <c r="I117" s="14" t="s">
        <v>348</v>
      </c>
      <c r="J117" s="14" t="s">
        <v>652</v>
      </c>
    </row>
    <row r="118" spans="1:10" ht="15" customHeight="1">
      <c r="A118" s="42" t="s">
        <v>47</v>
      </c>
      <c r="B118" s="42" t="s">
        <v>13</v>
      </c>
      <c r="C118" s="15" t="s">
        <v>25</v>
      </c>
      <c r="D118" s="14" t="s">
        <v>731</v>
      </c>
      <c r="E118" s="14" t="s">
        <v>1110</v>
      </c>
      <c r="F118" s="14" t="s">
        <v>1230</v>
      </c>
      <c r="G118" s="10">
        <v>1</v>
      </c>
      <c r="H118" s="15" t="s">
        <v>28</v>
      </c>
      <c r="I118" s="14" t="s">
        <v>348</v>
      </c>
      <c r="J118" s="14" t="s">
        <v>312</v>
      </c>
    </row>
    <row r="119" spans="1:10" ht="15" customHeight="1">
      <c r="A119" s="42" t="s">
        <v>47</v>
      </c>
      <c r="B119" s="42" t="s">
        <v>13</v>
      </c>
      <c r="C119" s="15" t="s">
        <v>25</v>
      </c>
      <c r="D119" s="14" t="s">
        <v>882</v>
      </c>
      <c r="E119" s="14" t="s">
        <v>1231</v>
      </c>
      <c r="F119" s="14" t="s">
        <v>1232</v>
      </c>
      <c r="G119" s="10">
        <v>1.5</v>
      </c>
      <c r="H119" s="15" t="s">
        <v>30</v>
      </c>
      <c r="I119" s="14" t="s">
        <v>348</v>
      </c>
      <c r="J119" s="14" t="s">
        <v>312</v>
      </c>
    </row>
    <row r="120" spans="1:10" ht="15" customHeight="1">
      <c r="A120" s="42" t="s">
        <v>47</v>
      </c>
      <c r="B120" s="42" t="s">
        <v>13</v>
      </c>
      <c r="C120" s="15" t="s">
        <v>25</v>
      </c>
      <c r="D120" s="14" t="s">
        <v>886</v>
      </c>
      <c r="E120" s="14" t="s">
        <v>1231</v>
      </c>
      <c r="F120" s="14" t="s">
        <v>1233</v>
      </c>
      <c r="G120" s="10">
        <v>1</v>
      </c>
      <c r="H120" s="15" t="s">
        <v>30</v>
      </c>
      <c r="I120" s="14" t="s">
        <v>348</v>
      </c>
      <c r="J120" s="14" t="s">
        <v>312</v>
      </c>
    </row>
    <row r="121" spans="1:10" ht="15" customHeight="1">
      <c r="A121" s="42" t="s">
        <v>47</v>
      </c>
      <c r="B121" s="42" t="s">
        <v>13</v>
      </c>
      <c r="C121" s="15" t="s">
        <v>25</v>
      </c>
      <c r="D121" s="14" t="s">
        <v>549</v>
      </c>
      <c r="E121" s="14" t="s">
        <v>1112</v>
      </c>
      <c r="F121" s="14" t="s">
        <v>1234</v>
      </c>
      <c r="G121" s="10">
        <v>1.5</v>
      </c>
      <c r="H121" s="15" t="s">
        <v>28</v>
      </c>
      <c r="I121" s="56" t="s">
        <v>297</v>
      </c>
      <c r="J121" s="14" t="s">
        <v>312</v>
      </c>
    </row>
    <row r="122" spans="1:10" ht="15" customHeight="1">
      <c r="A122" s="42" t="s">
        <v>47</v>
      </c>
      <c r="B122" s="42" t="s">
        <v>13</v>
      </c>
      <c r="C122" s="15" t="s">
        <v>25</v>
      </c>
      <c r="D122" s="14" t="s">
        <v>551</v>
      </c>
      <c r="E122" s="14" t="s">
        <v>1112</v>
      </c>
      <c r="F122" s="14" t="s">
        <v>1235</v>
      </c>
      <c r="G122" s="10">
        <v>1</v>
      </c>
      <c r="H122" s="15" t="s">
        <v>28</v>
      </c>
      <c r="I122" s="56" t="s">
        <v>297</v>
      </c>
      <c r="J122" s="14" t="s">
        <v>312</v>
      </c>
    </row>
    <row r="123" spans="1:10" ht="15" customHeight="1">
      <c r="A123" s="42" t="s">
        <v>47</v>
      </c>
      <c r="B123" s="42" t="s">
        <v>13</v>
      </c>
      <c r="C123" s="15" t="s">
        <v>238</v>
      </c>
      <c r="D123" s="14" t="s">
        <v>747</v>
      </c>
      <c r="E123" s="14" t="s">
        <v>1116</v>
      </c>
      <c r="F123" s="14" t="s">
        <v>1236</v>
      </c>
      <c r="G123" s="10">
        <v>0.25</v>
      </c>
      <c r="H123" s="15" t="s">
        <v>29</v>
      </c>
      <c r="I123" s="14" t="s">
        <v>348</v>
      </c>
      <c r="J123" s="14" t="s">
        <v>652</v>
      </c>
    </row>
    <row r="124" spans="1:10" ht="15" customHeight="1">
      <c r="A124" s="42" t="s">
        <v>47</v>
      </c>
      <c r="B124" s="42" t="s">
        <v>13</v>
      </c>
      <c r="C124" s="15" t="s">
        <v>238</v>
      </c>
      <c r="D124" s="14" t="s">
        <v>749</v>
      </c>
      <c r="E124" s="14" t="s">
        <v>1116</v>
      </c>
      <c r="F124" s="14" t="s">
        <v>1237</v>
      </c>
      <c r="G124" s="10">
        <v>0.75</v>
      </c>
      <c r="H124" s="15" t="s">
        <v>29</v>
      </c>
      <c r="I124" s="14" t="s">
        <v>348</v>
      </c>
      <c r="J124" s="14" t="s">
        <v>652</v>
      </c>
    </row>
    <row r="125" spans="1:10" ht="15" customHeight="1">
      <c r="A125" s="42" t="s">
        <v>47</v>
      </c>
      <c r="B125" s="42" t="s">
        <v>13</v>
      </c>
      <c r="C125" s="15" t="s">
        <v>238</v>
      </c>
      <c r="D125" s="14" t="s">
        <v>755</v>
      </c>
      <c r="E125" s="14" t="s">
        <v>1116</v>
      </c>
      <c r="F125" s="14" t="s">
        <v>1238</v>
      </c>
      <c r="G125" s="10">
        <v>0.5</v>
      </c>
      <c r="H125" s="15" t="s">
        <v>29</v>
      </c>
      <c r="I125" s="56" t="s">
        <v>297</v>
      </c>
      <c r="J125" s="14" t="s">
        <v>652</v>
      </c>
    </row>
    <row r="126" spans="1:10" ht="15" customHeight="1">
      <c r="A126" s="42" t="s">
        <v>47</v>
      </c>
      <c r="B126" s="42" t="s">
        <v>13</v>
      </c>
      <c r="C126" s="15" t="s">
        <v>238</v>
      </c>
      <c r="D126" s="14" t="s">
        <v>762</v>
      </c>
      <c r="E126" s="14" t="s">
        <v>1119</v>
      </c>
      <c r="F126" s="14" t="s">
        <v>1239</v>
      </c>
      <c r="G126" s="10">
        <v>0.5</v>
      </c>
      <c r="H126" s="15" t="s">
        <v>29</v>
      </c>
      <c r="I126" s="14" t="s">
        <v>348</v>
      </c>
      <c r="J126" s="14" t="s">
        <v>652</v>
      </c>
    </row>
    <row r="127" spans="1:10" ht="15" customHeight="1">
      <c r="A127" s="42" t="s">
        <v>47</v>
      </c>
      <c r="B127" s="42" t="s">
        <v>13</v>
      </c>
      <c r="C127" s="15" t="s">
        <v>238</v>
      </c>
      <c r="D127" s="14" t="s">
        <v>777</v>
      </c>
      <c r="E127" s="14" t="s">
        <v>1121</v>
      </c>
      <c r="F127" s="14" t="s">
        <v>1240</v>
      </c>
      <c r="G127" s="10">
        <v>0.5</v>
      </c>
      <c r="H127" s="15" t="s">
        <v>29</v>
      </c>
      <c r="I127" s="14" t="s">
        <v>348</v>
      </c>
      <c r="J127" s="14" t="s">
        <v>652</v>
      </c>
    </row>
    <row r="128" spans="1:10" ht="15" customHeight="1">
      <c r="A128" s="42" t="s">
        <v>47</v>
      </c>
      <c r="B128" s="42" t="s">
        <v>13</v>
      </c>
      <c r="C128" s="15" t="s">
        <v>238</v>
      </c>
      <c r="D128" s="14" t="s">
        <v>779</v>
      </c>
      <c r="E128" s="14" t="s">
        <v>1121</v>
      </c>
      <c r="F128" s="14" t="s">
        <v>1241</v>
      </c>
      <c r="G128" s="10">
        <v>1.5</v>
      </c>
      <c r="H128" s="15" t="s">
        <v>29</v>
      </c>
      <c r="I128" s="14" t="s">
        <v>348</v>
      </c>
      <c r="J128" s="14" t="s">
        <v>652</v>
      </c>
    </row>
    <row r="129" spans="1:10" ht="23.25" customHeight="1">
      <c r="A129" s="42" t="s">
        <v>47</v>
      </c>
      <c r="B129" s="42" t="s">
        <v>13</v>
      </c>
      <c r="C129" s="15" t="s">
        <v>238</v>
      </c>
      <c r="D129" s="14" t="s">
        <v>788</v>
      </c>
      <c r="E129" s="14" t="s">
        <v>1123</v>
      </c>
      <c r="F129" s="14" t="s">
        <v>1242</v>
      </c>
      <c r="G129" s="10">
        <v>1.5</v>
      </c>
      <c r="H129" s="15" t="s">
        <v>29</v>
      </c>
      <c r="I129" s="14" t="s">
        <v>348</v>
      </c>
      <c r="J129" s="14" t="s">
        <v>652</v>
      </c>
    </row>
    <row r="130" spans="1:10" ht="23.25" customHeight="1">
      <c r="A130" s="42" t="s">
        <v>47</v>
      </c>
      <c r="B130" s="42" t="s">
        <v>13</v>
      </c>
      <c r="C130" s="15" t="s">
        <v>238</v>
      </c>
      <c r="D130" s="14" t="s">
        <v>790</v>
      </c>
      <c r="E130" s="14" t="s">
        <v>1123</v>
      </c>
      <c r="F130" s="14" t="s">
        <v>1243</v>
      </c>
      <c r="G130" s="10">
        <v>0.5</v>
      </c>
      <c r="H130" s="15" t="s">
        <v>29</v>
      </c>
      <c r="I130" s="14" t="s">
        <v>348</v>
      </c>
      <c r="J130" s="14" t="s">
        <v>652</v>
      </c>
    </row>
    <row r="131" spans="1:10" ht="23.25" customHeight="1">
      <c r="A131" s="42" t="s">
        <v>47</v>
      </c>
      <c r="B131" s="42" t="s">
        <v>13</v>
      </c>
      <c r="C131" s="15" t="s">
        <v>238</v>
      </c>
      <c r="D131" s="14" t="s">
        <v>792</v>
      </c>
      <c r="E131" s="14" t="s">
        <v>1123</v>
      </c>
      <c r="F131" s="14" t="s">
        <v>1244</v>
      </c>
      <c r="G131" s="10">
        <v>0.5</v>
      </c>
      <c r="H131" s="15" t="s">
        <v>29</v>
      </c>
      <c r="I131" s="14" t="s">
        <v>348</v>
      </c>
      <c r="J131" s="14" t="s">
        <v>652</v>
      </c>
    </row>
    <row r="132" spans="1:10" ht="23.25" customHeight="1">
      <c r="A132" s="42" t="s">
        <v>47</v>
      </c>
      <c r="B132" s="42" t="s">
        <v>13</v>
      </c>
      <c r="C132" s="15" t="s">
        <v>238</v>
      </c>
      <c r="D132" s="14" t="s">
        <v>794</v>
      </c>
      <c r="E132" s="14" t="s">
        <v>1123</v>
      </c>
      <c r="F132" s="14" t="s">
        <v>1245</v>
      </c>
      <c r="G132" s="10">
        <v>1</v>
      </c>
      <c r="H132" s="15" t="s">
        <v>29</v>
      </c>
      <c r="I132" s="56" t="s">
        <v>297</v>
      </c>
      <c r="J132" s="14" t="s">
        <v>652</v>
      </c>
    </row>
    <row r="133" spans="1:10" ht="15" customHeight="1">
      <c r="A133" s="42" t="s">
        <v>47</v>
      </c>
      <c r="B133" s="42" t="s">
        <v>13</v>
      </c>
      <c r="C133" s="15" t="s">
        <v>238</v>
      </c>
      <c r="D133" s="14" t="s">
        <v>811</v>
      </c>
      <c r="E133" s="14" t="s">
        <v>1126</v>
      </c>
      <c r="F133" s="14" t="s">
        <v>1246</v>
      </c>
      <c r="G133" s="10">
        <v>2</v>
      </c>
      <c r="H133" s="15" t="s">
        <v>29</v>
      </c>
      <c r="I133" s="56" t="s">
        <v>297</v>
      </c>
      <c r="J133" s="14" t="s">
        <v>312</v>
      </c>
    </row>
    <row r="134" spans="1:10" ht="15" customHeight="1">
      <c r="A134" s="42" t="s">
        <v>47</v>
      </c>
      <c r="B134" s="42" t="s">
        <v>13</v>
      </c>
      <c r="C134" s="15" t="s">
        <v>238</v>
      </c>
      <c r="D134" s="14" t="s">
        <v>818</v>
      </c>
      <c r="E134" s="14" t="s">
        <v>1128</v>
      </c>
      <c r="F134" s="14" t="s">
        <v>1247</v>
      </c>
      <c r="G134" s="10">
        <v>2</v>
      </c>
      <c r="H134" s="15" t="s">
        <v>29</v>
      </c>
      <c r="I134" s="56" t="s">
        <v>297</v>
      </c>
      <c r="J134" s="14" t="s">
        <v>652</v>
      </c>
    </row>
    <row r="135" spans="1:10" ht="15" customHeight="1">
      <c r="A135" s="42" t="s">
        <v>47</v>
      </c>
      <c r="B135" s="42" t="s">
        <v>13</v>
      </c>
      <c r="C135" s="15" t="s">
        <v>238</v>
      </c>
      <c r="D135" s="14" t="s">
        <v>825</v>
      </c>
      <c r="E135" s="14" t="s">
        <v>1130</v>
      </c>
      <c r="F135" s="14" t="s">
        <v>1248</v>
      </c>
      <c r="G135" s="10">
        <v>2.5</v>
      </c>
      <c r="H135" s="15" t="s">
        <v>29</v>
      </c>
      <c r="I135" s="56" t="s">
        <v>297</v>
      </c>
      <c r="J135" s="14" t="s">
        <v>312</v>
      </c>
    </row>
    <row r="136" spans="1:10" ht="15" customHeight="1">
      <c r="A136" s="42" t="s">
        <v>47</v>
      </c>
      <c r="B136" s="42" t="s">
        <v>13</v>
      </c>
      <c r="C136" s="15" t="s">
        <v>242</v>
      </c>
      <c r="D136" s="14" t="s">
        <v>854</v>
      </c>
      <c r="E136" s="14" t="s">
        <v>1249</v>
      </c>
      <c r="F136" s="14" t="s">
        <v>1250</v>
      </c>
      <c r="G136" s="10">
        <v>1</v>
      </c>
      <c r="H136" s="15" t="s">
        <v>30</v>
      </c>
      <c r="I136" s="14" t="s">
        <v>348</v>
      </c>
      <c r="J136" s="14" t="s">
        <v>312</v>
      </c>
    </row>
    <row r="137" spans="1:10" ht="23.25" customHeight="1">
      <c r="A137" s="42" t="s">
        <v>47</v>
      </c>
      <c r="B137" s="42" t="s">
        <v>13</v>
      </c>
      <c r="C137" s="15" t="s">
        <v>242</v>
      </c>
      <c r="D137" s="14" t="s">
        <v>863</v>
      </c>
      <c r="E137" s="14" t="s">
        <v>1132</v>
      </c>
      <c r="F137" s="14" t="s">
        <v>1251</v>
      </c>
      <c r="G137" s="10">
        <v>1</v>
      </c>
      <c r="H137" s="15" t="s">
        <v>30</v>
      </c>
      <c r="I137" s="14" t="s">
        <v>348</v>
      </c>
      <c r="J137" s="14" t="s">
        <v>652</v>
      </c>
    </row>
    <row r="138" spans="1:10" ht="15" customHeight="1">
      <c r="A138" s="42" t="s">
        <v>47</v>
      </c>
      <c r="B138" s="42" t="s">
        <v>13</v>
      </c>
      <c r="C138" s="15" t="s">
        <v>247</v>
      </c>
      <c r="D138" s="14" t="s">
        <v>893</v>
      </c>
      <c r="E138" s="14" t="s">
        <v>1252</v>
      </c>
      <c r="F138" s="14" t="s">
        <v>1253</v>
      </c>
      <c r="G138" s="10">
        <v>2</v>
      </c>
      <c r="H138" s="15" t="s">
        <v>30</v>
      </c>
      <c r="I138" s="14" t="s">
        <v>348</v>
      </c>
      <c r="J138" s="14" t="s">
        <v>312</v>
      </c>
    </row>
    <row r="139" spans="1:10" ht="15" customHeight="1">
      <c r="A139" s="42" t="s">
        <v>47</v>
      </c>
      <c r="B139" s="42" t="s">
        <v>13</v>
      </c>
      <c r="C139" s="15" t="s">
        <v>247</v>
      </c>
      <c r="D139" s="14" t="s">
        <v>903</v>
      </c>
      <c r="E139" s="14" t="s">
        <v>1143</v>
      </c>
      <c r="F139" s="14" t="s">
        <v>1254</v>
      </c>
      <c r="G139" s="10">
        <v>1</v>
      </c>
      <c r="H139" s="15" t="s">
        <v>30</v>
      </c>
      <c r="I139" s="14" t="s">
        <v>348</v>
      </c>
      <c r="J139" s="14" t="s">
        <v>652</v>
      </c>
    </row>
    <row r="140" spans="1:10" ht="23.25" customHeight="1">
      <c r="A140" s="42" t="s">
        <v>47</v>
      </c>
      <c r="B140" s="42" t="s">
        <v>13</v>
      </c>
      <c r="C140" s="15" t="s">
        <v>247</v>
      </c>
      <c r="D140" s="14" t="s">
        <v>912</v>
      </c>
      <c r="E140" s="14" t="s">
        <v>1145</v>
      </c>
      <c r="F140" s="14" t="s">
        <v>1255</v>
      </c>
      <c r="G140" s="10">
        <v>1.5</v>
      </c>
      <c r="H140" s="15" t="s">
        <v>30</v>
      </c>
      <c r="I140" s="14" t="s">
        <v>348</v>
      </c>
      <c r="J140" s="14" t="s">
        <v>652</v>
      </c>
    </row>
    <row r="141" spans="1:10" ht="15" customHeight="1">
      <c r="A141" s="42" t="s">
        <v>47</v>
      </c>
      <c r="B141" s="42" t="s">
        <v>13</v>
      </c>
      <c r="C141" s="15" t="s">
        <v>247</v>
      </c>
      <c r="D141" s="14" t="s">
        <v>921</v>
      </c>
      <c r="E141" s="14" t="s">
        <v>1147</v>
      </c>
      <c r="F141" s="14" t="s">
        <v>1256</v>
      </c>
      <c r="G141" s="10">
        <v>1</v>
      </c>
      <c r="H141" s="15" t="s">
        <v>30</v>
      </c>
      <c r="I141" s="14" t="s">
        <v>348</v>
      </c>
      <c r="J141" s="14" t="s">
        <v>312</v>
      </c>
    </row>
    <row r="142" spans="1:10" ht="15" customHeight="1">
      <c r="A142" s="42" t="s">
        <v>47</v>
      </c>
      <c r="B142" s="42" t="s">
        <v>13</v>
      </c>
      <c r="C142" s="15" t="s">
        <v>247</v>
      </c>
      <c r="D142" s="14" t="s">
        <v>923</v>
      </c>
      <c r="E142" s="14" t="s">
        <v>1147</v>
      </c>
      <c r="F142" s="14" t="s">
        <v>1257</v>
      </c>
      <c r="G142" s="10">
        <v>0.5</v>
      </c>
      <c r="H142" s="15" t="s">
        <v>30</v>
      </c>
      <c r="I142" s="14" t="s">
        <v>348</v>
      </c>
      <c r="J142" s="14" t="s">
        <v>312</v>
      </c>
    </row>
    <row r="143" spans="1:10" ht="23.25" customHeight="1">
      <c r="A143" s="42" t="s">
        <v>47</v>
      </c>
      <c r="B143" s="42" t="s">
        <v>13</v>
      </c>
      <c r="C143" s="15" t="s">
        <v>247</v>
      </c>
      <c r="D143" s="14" t="s">
        <v>930</v>
      </c>
      <c r="E143" s="14" t="s">
        <v>1149</v>
      </c>
      <c r="F143" s="14" t="s">
        <v>1258</v>
      </c>
      <c r="G143" s="10">
        <v>1.5</v>
      </c>
      <c r="H143" s="15" t="s">
        <v>30</v>
      </c>
      <c r="I143" s="56" t="s">
        <v>297</v>
      </c>
      <c r="J143" s="14" t="s">
        <v>652</v>
      </c>
    </row>
    <row r="144" spans="1:10" ht="15" customHeight="1">
      <c r="A144" s="42" t="s">
        <v>47</v>
      </c>
      <c r="B144" s="42" t="s">
        <v>13</v>
      </c>
      <c r="C144" s="15" t="s">
        <v>26</v>
      </c>
      <c r="D144" s="14" t="s">
        <v>959</v>
      </c>
      <c r="E144" s="14" t="s">
        <v>1259</v>
      </c>
      <c r="F144" s="14" t="s">
        <v>1260</v>
      </c>
      <c r="G144" s="10">
        <v>2</v>
      </c>
      <c r="H144" s="15" t="s">
        <v>30</v>
      </c>
      <c r="I144" s="14" t="s">
        <v>348</v>
      </c>
      <c r="J144" s="14" t="s">
        <v>312</v>
      </c>
    </row>
    <row r="145" spans="1:10" ht="23.25" customHeight="1">
      <c r="A145" s="42" t="s">
        <v>47</v>
      </c>
      <c r="B145" s="42" t="s">
        <v>13</v>
      </c>
      <c r="C145" s="15" t="s">
        <v>26</v>
      </c>
      <c r="D145" s="14" t="s">
        <v>974</v>
      </c>
      <c r="E145" s="14" t="s">
        <v>1261</v>
      </c>
      <c r="F145" s="14" t="s">
        <v>1262</v>
      </c>
      <c r="G145" s="10">
        <v>1</v>
      </c>
      <c r="H145" s="15" t="s">
        <v>30</v>
      </c>
      <c r="I145" s="14" t="s">
        <v>348</v>
      </c>
      <c r="J145" s="14" t="s">
        <v>312</v>
      </c>
    </row>
    <row r="146" spans="1:10" ht="15" customHeight="1">
      <c r="A146" s="42" t="s">
        <v>47</v>
      </c>
      <c r="B146" s="42" t="s">
        <v>13</v>
      </c>
      <c r="C146" s="15" t="s">
        <v>26</v>
      </c>
      <c r="D146" s="14" t="s">
        <v>990</v>
      </c>
      <c r="E146" s="14" t="s">
        <v>1263</v>
      </c>
      <c r="F146" s="14" t="s">
        <v>1264</v>
      </c>
      <c r="G146" s="10">
        <v>2</v>
      </c>
      <c r="H146" s="15" t="s">
        <v>30</v>
      </c>
      <c r="I146" s="14" t="s">
        <v>348</v>
      </c>
      <c r="J146" s="14" t="s">
        <v>312</v>
      </c>
    </row>
    <row r="147" spans="1:10" ht="15" customHeight="1">
      <c r="A147" s="42" t="s">
        <v>47</v>
      </c>
      <c r="B147" s="42" t="s">
        <v>13</v>
      </c>
      <c r="C147" s="15" t="s">
        <v>26</v>
      </c>
      <c r="D147" s="14" t="s">
        <v>999</v>
      </c>
      <c r="E147" s="14" t="s">
        <v>1265</v>
      </c>
      <c r="F147" s="14" t="s">
        <v>1266</v>
      </c>
      <c r="G147" s="10">
        <v>1.5</v>
      </c>
      <c r="H147" s="15" t="s">
        <v>30</v>
      </c>
      <c r="I147" s="14" t="s">
        <v>348</v>
      </c>
      <c r="J147" s="14" t="s">
        <v>312</v>
      </c>
    </row>
    <row r="148" spans="1:10" ht="15" customHeight="1">
      <c r="A148" s="42" t="s">
        <v>47</v>
      </c>
      <c r="B148" s="42" t="s">
        <v>13</v>
      </c>
      <c r="C148" s="15" t="s">
        <v>254</v>
      </c>
      <c r="D148" s="14" t="s">
        <v>1018</v>
      </c>
      <c r="E148" s="14" t="s">
        <v>1267</v>
      </c>
      <c r="F148" s="14" t="s">
        <v>1268</v>
      </c>
      <c r="G148" s="10">
        <v>1</v>
      </c>
      <c r="H148" s="15" t="s">
        <v>30</v>
      </c>
      <c r="I148" s="14" t="s">
        <v>348</v>
      </c>
      <c r="J148" s="14" t="s">
        <v>289</v>
      </c>
    </row>
    <row r="149" spans="1:10" ht="23.25" customHeight="1">
      <c r="A149" s="42" t="s">
        <v>47</v>
      </c>
      <c r="B149" s="42" t="s">
        <v>13</v>
      </c>
      <c r="C149" s="15" t="s">
        <v>254</v>
      </c>
      <c r="D149" s="14" t="s">
        <v>1030</v>
      </c>
      <c r="E149" s="14" t="s">
        <v>1269</v>
      </c>
      <c r="F149" s="14" t="s">
        <v>1270</v>
      </c>
      <c r="G149" s="10">
        <v>0.5</v>
      </c>
      <c r="H149" s="15" t="s">
        <v>30</v>
      </c>
      <c r="I149" s="14" t="s">
        <v>348</v>
      </c>
      <c r="J149" s="14" t="s">
        <v>652</v>
      </c>
    </row>
    <row r="150" spans="1:10" ht="15" customHeight="1">
      <c r="F150" s="71" t="s">
        <v>1271</v>
      </c>
      <c r="G150" s="72">
        <f>SUM(G64:G149)</f>
        <v>121</v>
      </c>
    </row>
    <row r="152" spans="1:10" ht="15" customHeight="1">
      <c r="A152" s="70" t="s">
        <v>16</v>
      </c>
      <c r="B152" s="70" t="s">
        <v>15</v>
      </c>
      <c r="C152" s="15" t="s">
        <v>231</v>
      </c>
      <c r="D152" s="14" t="s">
        <v>845</v>
      </c>
      <c r="E152" s="14" t="s">
        <v>1221</v>
      </c>
      <c r="F152" s="14" t="s">
        <v>1272</v>
      </c>
      <c r="G152" s="10">
        <v>2.5</v>
      </c>
      <c r="H152" s="15" t="s">
        <v>30</v>
      </c>
      <c r="I152" s="14" t="s">
        <v>348</v>
      </c>
      <c r="J152" s="14" t="s">
        <v>312</v>
      </c>
    </row>
    <row r="153" spans="1:10" ht="15" customHeight="1">
      <c r="A153" s="70" t="s">
        <v>16</v>
      </c>
      <c r="B153" s="70" t="s">
        <v>15</v>
      </c>
      <c r="C153" s="15" t="s">
        <v>25</v>
      </c>
      <c r="D153" s="14" t="s">
        <v>880</v>
      </c>
      <c r="E153" s="14" t="s">
        <v>1231</v>
      </c>
      <c r="F153" s="14" t="s">
        <v>1273</v>
      </c>
      <c r="G153" s="10">
        <v>3</v>
      </c>
      <c r="H153" s="15" t="s">
        <v>30</v>
      </c>
      <c r="I153" s="14" t="s">
        <v>348</v>
      </c>
      <c r="J153" s="14" t="s">
        <v>312</v>
      </c>
    </row>
    <row r="154" spans="1:10" ht="15" customHeight="1">
      <c r="A154" s="70" t="s">
        <v>16</v>
      </c>
      <c r="B154" s="70" t="s">
        <v>15</v>
      </c>
      <c r="C154" s="15" t="s">
        <v>25</v>
      </c>
      <c r="D154" s="14" t="s">
        <v>884</v>
      </c>
      <c r="E154" s="14" t="s">
        <v>1231</v>
      </c>
      <c r="F154" s="14" t="s">
        <v>1274</v>
      </c>
      <c r="G154" s="10">
        <v>2.5</v>
      </c>
      <c r="H154" s="15" t="s">
        <v>30</v>
      </c>
      <c r="I154" s="14" t="s">
        <v>348</v>
      </c>
      <c r="J154" s="14" t="s">
        <v>312</v>
      </c>
    </row>
    <row r="155" spans="1:10" ht="15" customHeight="1">
      <c r="A155" s="70" t="s">
        <v>16</v>
      </c>
      <c r="B155" s="70" t="s">
        <v>15</v>
      </c>
      <c r="C155" s="15" t="s">
        <v>242</v>
      </c>
      <c r="D155" s="14" t="s">
        <v>850</v>
      </c>
      <c r="E155" s="14" t="s">
        <v>1249</v>
      </c>
      <c r="F155" s="14" t="s">
        <v>1275</v>
      </c>
      <c r="G155" s="10">
        <v>4</v>
      </c>
      <c r="H155" s="15" t="s">
        <v>30</v>
      </c>
      <c r="I155" s="14" t="s">
        <v>348</v>
      </c>
      <c r="J155" s="14" t="s">
        <v>312</v>
      </c>
    </row>
    <row r="156" spans="1:10" ht="15" customHeight="1">
      <c r="A156" s="70" t="s">
        <v>16</v>
      </c>
      <c r="B156" s="70" t="s">
        <v>15</v>
      </c>
      <c r="C156" s="15" t="s">
        <v>242</v>
      </c>
      <c r="D156" s="14" t="s">
        <v>852</v>
      </c>
      <c r="E156" s="14" t="s">
        <v>1249</v>
      </c>
      <c r="F156" s="14" t="s">
        <v>1276</v>
      </c>
      <c r="G156" s="10">
        <v>1</v>
      </c>
      <c r="H156" s="15" t="s">
        <v>30</v>
      </c>
      <c r="I156" s="14" t="s">
        <v>348</v>
      </c>
      <c r="J156" s="14" t="s">
        <v>312</v>
      </c>
    </row>
    <row r="157" spans="1:10" ht="23.25" customHeight="1">
      <c r="A157" s="70" t="s">
        <v>16</v>
      </c>
      <c r="B157" s="70" t="s">
        <v>15</v>
      </c>
      <c r="C157" s="15" t="s">
        <v>242</v>
      </c>
      <c r="D157" s="14" t="s">
        <v>865</v>
      </c>
      <c r="E157" s="14" t="s">
        <v>1132</v>
      </c>
      <c r="F157" s="14" t="s">
        <v>1277</v>
      </c>
      <c r="G157" s="10">
        <v>1.5</v>
      </c>
      <c r="H157" s="15" t="s">
        <v>30</v>
      </c>
      <c r="I157" s="14" t="s">
        <v>348</v>
      </c>
      <c r="J157" s="14" t="s">
        <v>652</v>
      </c>
    </row>
    <row r="158" spans="1:10" ht="15" customHeight="1">
      <c r="A158" s="70" t="s">
        <v>16</v>
      </c>
      <c r="B158" s="70" t="s">
        <v>15</v>
      </c>
      <c r="C158" s="15" t="s">
        <v>247</v>
      </c>
      <c r="D158" s="14" t="s">
        <v>891</v>
      </c>
      <c r="E158" s="14" t="s">
        <v>1252</v>
      </c>
      <c r="F158" s="14" t="s">
        <v>1278</v>
      </c>
      <c r="G158" s="10">
        <v>2.5</v>
      </c>
      <c r="H158" s="15" t="s">
        <v>30</v>
      </c>
      <c r="I158" s="14" t="s">
        <v>348</v>
      </c>
      <c r="J158" s="14" t="s">
        <v>312</v>
      </c>
    </row>
    <row r="159" spans="1:10" ht="15" customHeight="1">
      <c r="A159" s="70" t="s">
        <v>16</v>
      </c>
      <c r="B159" s="70" t="s">
        <v>15</v>
      </c>
      <c r="C159" s="15" t="s">
        <v>247</v>
      </c>
      <c r="D159" s="14" t="s">
        <v>895</v>
      </c>
      <c r="E159" s="14" t="s">
        <v>1252</v>
      </c>
      <c r="F159" s="14" t="s">
        <v>1279</v>
      </c>
      <c r="G159" s="10">
        <v>1.5</v>
      </c>
      <c r="H159" s="15" t="s">
        <v>30</v>
      </c>
      <c r="I159" s="14" t="s">
        <v>348</v>
      </c>
      <c r="J159" s="14" t="s">
        <v>312</v>
      </c>
    </row>
    <row r="160" spans="1:10" ht="15" customHeight="1">
      <c r="A160" s="70" t="s">
        <v>16</v>
      </c>
      <c r="B160" s="70" t="s">
        <v>15</v>
      </c>
      <c r="C160" s="15" t="s">
        <v>247</v>
      </c>
      <c r="D160" s="14" t="s">
        <v>901</v>
      </c>
      <c r="E160" s="14" t="s">
        <v>1143</v>
      </c>
      <c r="F160" s="14" t="s">
        <v>1280</v>
      </c>
      <c r="G160" s="10">
        <v>2.5</v>
      </c>
      <c r="H160" s="15" t="s">
        <v>30</v>
      </c>
      <c r="I160" s="14" t="s">
        <v>348</v>
      </c>
      <c r="J160" s="14" t="s">
        <v>652</v>
      </c>
    </row>
    <row r="161" spans="1:10" ht="23.25" customHeight="1">
      <c r="A161" s="70" t="s">
        <v>16</v>
      </c>
      <c r="B161" s="70" t="s">
        <v>15</v>
      </c>
      <c r="C161" s="15" t="s">
        <v>247</v>
      </c>
      <c r="D161" s="14" t="s">
        <v>910</v>
      </c>
      <c r="E161" s="14" t="s">
        <v>1145</v>
      </c>
      <c r="F161" s="14" t="s">
        <v>1281</v>
      </c>
      <c r="G161" s="10">
        <v>2.5</v>
      </c>
      <c r="H161" s="15" t="s">
        <v>30</v>
      </c>
      <c r="I161" s="14" t="s">
        <v>348</v>
      </c>
      <c r="J161" s="14" t="s">
        <v>652</v>
      </c>
    </row>
    <row r="162" spans="1:10" ht="23.25" customHeight="1">
      <c r="A162" s="70" t="s">
        <v>16</v>
      </c>
      <c r="B162" s="70" t="s">
        <v>15</v>
      </c>
      <c r="C162" s="15" t="s">
        <v>247</v>
      </c>
      <c r="D162" s="14" t="s">
        <v>928</v>
      </c>
      <c r="E162" s="14" t="s">
        <v>1149</v>
      </c>
      <c r="F162" s="14" t="s">
        <v>1282</v>
      </c>
      <c r="G162" s="10">
        <v>2</v>
      </c>
      <c r="H162" s="15" t="s">
        <v>30</v>
      </c>
      <c r="I162" s="56" t="s">
        <v>297</v>
      </c>
      <c r="J162" s="14" t="s">
        <v>652</v>
      </c>
    </row>
    <row r="163" spans="1:10" ht="23.25" customHeight="1">
      <c r="A163" s="70" t="s">
        <v>16</v>
      </c>
      <c r="B163" s="70" t="s">
        <v>15</v>
      </c>
      <c r="C163" s="15" t="s">
        <v>26</v>
      </c>
      <c r="D163" s="14" t="s">
        <v>947</v>
      </c>
      <c r="E163" s="14" t="s">
        <v>1283</v>
      </c>
      <c r="F163" s="14" t="s">
        <v>1284</v>
      </c>
      <c r="G163" s="10">
        <v>2</v>
      </c>
      <c r="H163" s="15" t="s">
        <v>30</v>
      </c>
      <c r="I163" s="14" t="s">
        <v>348</v>
      </c>
      <c r="J163" s="14" t="s">
        <v>312</v>
      </c>
    </row>
    <row r="164" spans="1:10" ht="23.25" customHeight="1">
      <c r="A164" s="70" t="s">
        <v>16</v>
      </c>
      <c r="B164" s="70" t="s">
        <v>15</v>
      </c>
      <c r="C164" s="15" t="s">
        <v>26</v>
      </c>
      <c r="D164" s="14" t="s">
        <v>949</v>
      </c>
      <c r="E164" s="14" t="s">
        <v>1283</v>
      </c>
      <c r="F164" s="14" t="s">
        <v>1285</v>
      </c>
      <c r="G164" s="10">
        <v>2</v>
      </c>
      <c r="H164" s="15" t="s">
        <v>30</v>
      </c>
      <c r="I164" s="14" t="s">
        <v>348</v>
      </c>
      <c r="J164" s="14" t="s">
        <v>312</v>
      </c>
    </row>
    <row r="165" spans="1:10" ht="23.25" customHeight="1">
      <c r="A165" s="70" t="s">
        <v>16</v>
      </c>
      <c r="B165" s="70" t="s">
        <v>15</v>
      </c>
      <c r="C165" s="15" t="s">
        <v>26</v>
      </c>
      <c r="D165" s="14" t="s">
        <v>951</v>
      </c>
      <c r="E165" s="14" t="s">
        <v>1283</v>
      </c>
      <c r="F165" s="14" t="s">
        <v>1286</v>
      </c>
      <c r="G165" s="10">
        <v>1</v>
      </c>
      <c r="H165" s="15" t="s">
        <v>30</v>
      </c>
      <c r="I165" s="14" t="s">
        <v>348</v>
      </c>
      <c r="J165" s="14" t="s">
        <v>312</v>
      </c>
    </row>
    <row r="166" spans="1:10" ht="15" customHeight="1">
      <c r="A166" s="70" t="s">
        <v>16</v>
      </c>
      <c r="B166" s="70" t="s">
        <v>15</v>
      </c>
      <c r="C166" s="15" t="s">
        <v>26</v>
      </c>
      <c r="D166" s="14" t="s">
        <v>961</v>
      </c>
      <c r="E166" s="14" t="s">
        <v>1259</v>
      </c>
      <c r="F166" s="14" t="s">
        <v>1287</v>
      </c>
      <c r="G166" s="10">
        <v>2</v>
      </c>
      <c r="H166" s="15" t="s">
        <v>30</v>
      </c>
      <c r="I166" s="14" t="s">
        <v>348</v>
      </c>
      <c r="J166" s="14" t="s">
        <v>312</v>
      </c>
    </row>
    <row r="167" spans="1:10" ht="23.25" customHeight="1">
      <c r="A167" s="70" t="s">
        <v>16</v>
      </c>
      <c r="B167" s="70" t="s">
        <v>15</v>
      </c>
      <c r="C167" s="15" t="s">
        <v>26</v>
      </c>
      <c r="D167" s="14" t="s">
        <v>970</v>
      </c>
      <c r="E167" s="14" t="s">
        <v>1261</v>
      </c>
      <c r="F167" s="14" t="s">
        <v>1288</v>
      </c>
      <c r="G167" s="10">
        <v>1.5</v>
      </c>
      <c r="H167" s="15" t="s">
        <v>30</v>
      </c>
      <c r="I167" s="14" t="s">
        <v>348</v>
      </c>
      <c r="J167" s="14" t="s">
        <v>312</v>
      </c>
    </row>
    <row r="168" spans="1:10" ht="23.25" customHeight="1">
      <c r="A168" s="70" t="s">
        <v>16</v>
      </c>
      <c r="B168" s="70" t="s">
        <v>15</v>
      </c>
      <c r="C168" s="15" t="s">
        <v>26</v>
      </c>
      <c r="D168" s="14" t="s">
        <v>972</v>
      </c>
      <c r="E168" s="14" t="s">
        <v>1261</v>
      </c>
      <c r="F168" s="14" t="s">
        <v>1289</v>
      </c>
      <c r="G168" s="10">
        <v>1</v>
      </c>
      <c r="H168" s="15" t="s">
        <v>30</v>
      </c>
      <c r="I168" s="14" t="s">
        <v>348</v>
      </c>
      <c r="J168" s="14" t="s">
        <v>312</v>
      </c>
    </row>
    <row r="169" spans="1:10" ht="23.25" customHeight="1">
      <c r="A169" s="70" t="s">
        <v>16</v>
      </c>
      <c r="B169" s="70" t="s">
        <v>15</v>
      </c>
      <c r="C169" s="15" t="s">
        <v>26</v>
      </c>
      <c r="D169" s="14" t="s">
        <v>976</v>
      </c>
      <c r="E169" s="14" t="s">
        <v>1261</v>
      </c>
      <c r="F169" s="14" t="s">
        <v>1290</v>
      </c>
      <c r="G169" s="10">
        <v>0.5</v>
      </c>
      <c r="H169" s="15" t="s">
        <v>30</v>
      </c>
      <c r="I169" s="14" t="s">
        <v>348</v>
      </c>
      <c r="J169" s="14" t="s">
        <v>312</v>
      </c>
    </row>
    <row r="170" spans="1:10" ht="15" customHeight="1">
      <c r="A170" s="70" t="s">
        <v>16</v>
      </c>
      <c r="B170" s="70" t="s">
        <v>15</v>
      </c>
      <c r="C170" s="15" t="s">
        <v>26</v>
      </c>
      <c r="D170" s="14" t="s">
        <v>997</v>
      </c>
      <c r="E170" s="14" t="s">
        <v>1265</v>
      </c>
      <c r="F170" s="14" t="s">
        <v>1291</v>
      </c>
      <c r="G170" s="10">
        <v>2.5</v>
      </c>
      <c r="H170" s="15" t="s">
        <v>30</v>
      </c>
      <c r="I170" s="14" t="s">
        <v>348</v>
      </c>
      <c r="J170" s="14" t="s">
        <v>312</v>
      </c>
    </row>
    <row r="171" spans="1:10" ht="23.25" customHeight="1">
      <c r="A171" s="70" t="s">
        <v>16</v>
      </c>
      <c r="B171" s="70" t="s">
        <v>15</v>
      </c>
      <c r="C171" s="15" t="s">
        <v>254</v>
      </c>
      <c r="D171" s="14" t="s">
        <v>1028</v>
      </c>
      <c r="E171" s="14" t="s">
        <v>1269</v>
      </c>
      <c r="F171" s="14" t="s">
        <v>1292</v>
      </c>
      <c r="G171" s="10">
        <v>1.5</v>
      </c>
      <c r="H171" s="15" t="s">
        <v>30</v>
      </c>
      <c r="I171" s="14" t="s">
        <v>348</v>
      </c>
      <c r="J171" s="14" t="s">
        <v>652</v>
      </c>
    </row>
    <row r="172" spans="1:10" ht="15" customHeight="1">
      <c r="A172" s="70" t="s">
        <v>16</v>
      </c>
      <c r="B172" s="70" t="s">
        <v>15</v>
      </c>
      <c r="C172" s="15" t="s">
        <v>254</v>
      </c>
      <c r="D172" s="14" t="s">
        <v>1036</v>
      </c>
      <c r="E172" s="14" t="s">
        <v>1293</v>
      </c>
      <c r="F172" s="14" t="s">
        <v>1294</v>
      </c>
      <c r="G172" s="10">
        <v>0.5</v>
      </c>
      <c r="H172" s="15" t="s">
        <v>30</v>
      </c>
      <c r="I172" s="14" t="s">
        <v>348</v>
      </c>
      <c r="J172" s="14" t="s">
        <v>652</v>
      </c>
    </row>
    <row r="173" spans="1:10" ht="15" customHeight="1">
      <c r="F173" s="71" t="s">
        <v>1295</v>
      </c>
      <c r="G173" s="72">
        <f>SUM(G152:G172)</f>
        <v>40</v>
      </c>
    </row>
    <row r="175" spans="1:10" ht="23.25" customHeight="1">
      <c r="A175" s="62" t="s">
        <v>18</v>
      </c>
      <c r="B175" s="62" t="s">
        <v>17</v>
      </c>
      <c r="C175" s="15" t="s">
        <v>20</v>
      </c>
      <c r="D175" s="14" t="s">
        <v>480</v>
      </c>
      <c r="E175" s="14" t="s">
        <v>1296</v>
      </c>
      <c r="F175" s="14" t="s">
        <v>1297</v>
      </c>
      <c r="G175" s="10">
        <v>3</v>
      </c>
      <c r="H175" s="15" t="s">
        <v>28</v>
      </c>
      <c r="I175" s="14" t="s">
        <v>348</v>
      </c>
      <c r="J175" s="14" t="s">
        <v>289</v>
      </c>
    </row>
    <row r="176" spans="1:10" ht="23.25" customHeight="1">
      <c r="A176" s="62" t="s">
        <v>18</v>
      </c>
      <c r="B176" s="62" t="s">
        <v>17</v>
      </c>
      <c r="C176" s="15" t="s">
        <v>20</v>
      </c>
      <c r="D176" s="14" t="s">
        <v>482</v>
      </c>
      <c r="E176" s="14" t="s">
        <v>1296</v>
      </c>
      <c r="F176" s="14" t="s">
        <v>1298</v>
      </c>
      <c r="G176" s="10">
        <v>2</v>
      </c>
      <c r="H176" s="15" t="s">
        <v>28</v>
      </c>
      <c r="I176" s="14" t="s">
        <v>348</v>
      </c>
      <c r="J176" s="14" t="s">
        <v>289</v>
      </c>
    </row>
    <row r="177" spans="1:10" ht="23.25" customHeight="1">
      <c r="A177" s="62" t="s">
        <v>18</v>
      </c>
      <c r="B177" s="62" t="s">
        <v>17</v>
      </c>
      <c r="C177" s="15" t="s">
        <v>20</v>
      </c>
      <c r="D177" s="14" t="s">
        <v>485</v>
      </c>
      <c r="E177" s="14" t="s">
        <v>1296</v>
      </c>
      <c r="F177" s="14" t="s">
        <v>1299</v>
      </c>
      <c r="G177" s="10">
        <v>2</v>
      </c>
      <c r="H177" s="15" t="s">
        <v>28</v>
      </c>
      <c r="I177" s="14" t="s">
        <v>348</v>
      </c>
      <c r="J177" s="14" t="s">
        <v>289</v>
      </c>
    </row>
    <row r="178" spans="1:10" ht="23.25" customHeight="1">
      <c r="A178" s="62" t="s">
        <v>18</v>
      </c>
      <c r="B178" s="62" t="s">
        <v>17</v>
      </c>
      <c r="C178" s="15" t="s">
        <v>21</v>
      </c>
      <c r="D178" s="14" t="s">
        <v>422</v>
      </c>
      <c r="E178" s="14" t="s">
        <v>1181</v>
      </c>
      <c r="F178" s="14" t="s">
        <v>1300</v>
      </c>
      <c r="G178" s="10">
        <v>2</v>
      </c>
      <c r="H178" s="15" t="s">
        <v>28</v>
      </c>
      <c r="I178" s="14" t="s">
        <v>348</v>
      </c>
      <c r="J178" s="14" t="s">
        <v>289</v>
      </c>
    </row>
    <row r="179" spans="1:10" ht="23.25" customHeight="1">
      <c r="A179" s="62" t="s">
        <v>18</v>
      </c>
      <c r="B179" s="62" t="s">
        <v>17</v>
      </c>
      <c r="C179" s="15" t="s">
        <v>21</v>
      </c>
      <c r="D179" s="14" t="s">
        <v>451</v>
      </c>
      <c r="E179" s="14" t="s">
        <v>1187</v>
      </c>
      <c r="F179" s="14" t="s">
        <v>1301</v>
      </c>
      <c r="G179" s="10">
        <v>1.5</v>
      </c>
      <c r="H179" s="15" t="s">
        <v>28</v>
      </c>
      <c r="I179" s="14" t="s">
        <v>348</v>
      </c>
      <c r="J179" s="14" t="s">
        <v>312</v>
      </c>
    </row>
    <row r="180" spans="1:10" ht="15" customHeight="1">
      <c r="A180" s="62" t="s">
        <v>18</v>
      </c>
      <c r="B180" s="62" t="s">
        <v>17</v>
      </c>
      <c r="C180" s="15" t="s">
        <v>21</v>
      </c>
      <c r="D180" s="14" t="s">
        <v>313</v>
      </c>
      <c r="E180" s="14" t="s">
        <v>1302</v>
      </c>
      <c r="F180" s="14" t="s">
        <v>1303</v>
      </c>
      <c r="G180" s="10">
        <v>2</v>
      </c>
      <c r="H180" s="15" t="s">
        <v>28</v>
      </c>
      <c r="I180" s="56" t="s">
        <v>297</v>
      </c>
      <c r="J180" s="14" t="s">
        <v>312</v>
      </c>
    </row>
    <row r="181" spans="1:10" ht="15" customHeight="1">
      <c r="A181" s="62" t="s">
        <v>18</v>
      </c>
      <c r="B181" s="62" t="s">
        <v>17</v>
      </c>
      <c r="C181" s="15" t="s">
        <v>21</v>
      </c>
      <c r="D181" s="14" t="s">
        <v>316</v>
      </c>
      <c r="E181" s="14" t="s">
        <v>1302</v>
      </c>
      <c r="F181" s="14" t="s">
        <v>1304</v>
      </c>
      <c r="G181" s="10">
        <v>1</v>
      </c>
      <c r="H181" s="15" t="s">
        <v>28</v>
      </c>
      <c r="I181" s="56" t="s">
        <v>297</v>
      </c>
      <c r="J181" s="14" t="s">
        <v>312</v>
      </c>
    </row>
    <row r="182" spans="1:10" ht="15" customHeight="1">
      <c r="A182" s="62" t="s">
        <v>18</v>
      </c>
      <c r="B182" s="62" t="s">
        <v>17</v>
      </c>
      <c r="C182" s="15" t="s">
        <v>22</v>
      </c>
      <c r="D182" s="14" t="s">
        <v>492</v>
      </c>
      <c r="E182" s="14" t="s">
        <v>1070</v>
      </c>
      <c r="F182" s="14" t="s">
        <v>1305</v>
      </c>
      <c r="G182" s="10">
        <v>3</v>
      </c>
      <c r="H182" s="15" t="s">
        <v>28</v>
      </c>
      <c r="I182" s="14" t="s">
        <v>348</v>
      </c>
      <c r="J182" s="14" t="s">
        <v>312</v>
      </c>
    </row>
    <row r="183" spans="1:10" ht="15" customHeight="1">
      <c r="A183" s="62" t="s">
        <v>18</v>
      </c>
      <c r="B183" s="62" t="s">
        <v>17</v>
      </c>
      <c r="C183" s="15" t="s">
        <v>22</v>
      </c>
      <c r="D183" s="14" t="s">
        <v>494</v>
      </c>
      <c r="E183" s="14" t="s">
        <v>1070</v>
      </c>
      <c r="F183" s="14" t="s">
        <v>1306</v>
      </c>
      <c r="G183" s="10">
        <v>3</v>
      </c>
      <c r="H183" s="15" t="s">
        <v>28</v>
      </c>
      <c r="I183" s="14" t="s">
        <v>348</v>
      </c>
      <c r="J183" s="14" t="s">
        <v>312</v>
      </c>
    </row>
    <row r="184" spans="1:10" ht="15" customHeight="1">
      <c r="A184" s="62" t="s">
        <v>18</v>
      </c>
      <c r="B184" s="62" t="s">
        <v>17</v>
      </c>
      <c r="C184" s="15" t="s">
        <v>231</v>
      </c>
      <c r="D184" s="14" t="s">
        <v>689</v>
      </c>
      <c r="E184" s="14" t="s">
        <v>1100</v>
      </c>
      <c r="F184" s="14" t="s">
        <v>1307</v>
      </c>
      <c r="G184" s="10">
        <v>0.5</v>
      </c>
      <c r="H184" s="15" t="s">
        <v>28</v>
      </c>
      <c r="I184" s="56" t="s">
        <v>297</v>
      </c>
      <c r="J184" s="14" t="s">
        <v>312</v>
      </c>
    </row>
    <row r="185" spans="1:10" ht="15" customHeight="1">
      <c r="A185" s="62" t="s">
        <v>18</v>
      </c>
      <c r="B185" s="62" t="s">
        <v>17</v>
      </c>
      <c r="C185" s="15" t="s">
        <v>25</v>
      </c>
      <c r="D185" s="14" t="s">
        <v>323</v>
      </c>
      <c r="E185" s="14" t="s">
        <v>1114</v>
      </c>
      <c r="F185" s="14" t="s">
        <v>1308</v>
      </c>
      <c r="G185" s="10">
        <v>1.5</v>
      </c>
      <c r="H185" s="15" t="s">
        <v>28</v>
      </c>
      <c r="I185" s="56" t="s">
        <v>297</v>
      </c>
      <c r="J185" s="14" t="s">
        <v>312</v>
      </c>
    </row>
    <row r="186" spans="1:10" ht="23.25" customHeight="1">
      <c r="A186" s="62" t="s">
        <v>18</v>
      </c>
      <c r="B186" s="62" t="s">
        <v>17</v>
      </c>
      <c r="C186" s="15" t="s">
        <v>242</v>
      </c>
      <c r="D186" s="14" t="s">
        <v>336</v>
      </c>
      <c r="E186" s="14" t="s">
        <v>1134</v>
      </c>
      <c r="F186" s="14" t="s">
        <v>1309</v>
      </c>
      <c r="G186" s="10">
        <v>1</v>
      </c>
      <c r="H186" s="15" t="s">
        <v>28</v>
      </c>
      <c r="I186" s="56" t="s">
        <v>297</v>
      </c>
      <c r="J186" s="14" t="s">
        <v>312</v>
      </c>
    </row>
    <row r="187" spans="1:10" ht="15" customHeight="1">
      <c r="A187" s="62" t="s">
        <v>18</v>
      </c>
      <c r="B187" s="62" t="s">
        <v>17</v>
      </c>
      <c r="C187" s="15" t="s">
        <v>26</v>
      </c>
      <c r="D187" s="14" t="s">
        <v>957</v>
      </c>
      <c r="E187" s="14" t="s">
        <v>1259</v>
      </c>
      <c r="F187" s="14" t="s">
        <v>1310</v>
      </c>
      <c r="G187" s="10">
        <v>2</v>
      </c>
      <c r="H187" s="15" t="s">
        <v>30</v>
      </c>
      <c r="I187" s="14" t="s">
        <v>348</v>
      </c>
      <c r="J187" s="14" t="s">
        <v>312</v>
      </c>
    </row>
    <row r="188" spans="1:10" ht="15" customHeight="1">
      <c r="A188" s="62" t="s">
        <v>18</v>
      </c>
      <c r="B188" s="62" t="s">
        <v>17</v>
      </c>
      <c r="C188" s="15" t="s">
        <v>26</v>
      </c>
      <c r="D188" s="14" t="s">
        <v>986</v>
      </c>
      <c r="E188" s="14" t="s">
        <v>1263</v>
      </c>
      <c r="F188" s="14" t="s">
        <v>1311</v>
      </c>
      <c r="G188" s="10">
        <v>3</v>
      </c>
      <c r="H188" s="15" t="s">
        <v>30</v>
      </c>
      <c r="I188" s="14" t="s">
        <v>348</v>
      </c>
      <c r="J188" s="14" t="s">
        <v>312</v>
      </c>
    </row>
    <row r="189" spans="1:10" ht="15" customHeight="1">
      <c r="A189" s="62" t="s">
        <v>18</v>
      </c>
      <c r="B189" s="62" t="s">
        <v>17</v>
      </c>
      <c r="C189" s="15" t="s">
        <v>26</v>
      </c>
      <c r="D189" s="14" t="s">
        <v>988</v>
      </c>
      <c r="E189" s="14" t="s">
        <v>1263</v>
      </c>
      <c r="F189" s="14" t="s">
        <v>1312</v>
      </c>
      <c r="G189" s="10">
        <v>3</v>
      </c>
      <c r="H189" s="15" t="s">
        <v>30</v>
      </c>
      <c r="I189" s="14" t="s">
        <v>348</v>
      </c>
      <c r="J189" s="14" t="s">
        <v>312</v>
      </c>
    </row>
    <row r="190" spans="1:10" ht="15" customHeight="1">
      <c r="A190" s="62" t="s">
        <v>18</v>
      </c>
      <c r="B190" s="62" t="s">
        <v>17</v>
      </c>
      <c r="C190" s="15" t="s">
        <v>26</v>
      </c>
      <c r="D190" s="14" t="s">
        <v>995</v>
      </c>
      <c r="E190" s="14" t="s">
        <v>1265</v>
      </c>
      <c r="F190" s="14" t="s">
        <v>1313</v>
      </c>
      <c r="G190" s="10">
        <v>2</v>
      </c>
      <c r="H190" s="15" t="s">
        <v>30</v>
      </c>
      <c r="I190" s="14" t="s">
        <v>348</v>
      </c>
      <c r="J190" s="14" t="s">
        <v>312</v>
      </c>
    </row>
    <row r="191" spans="1:10" ht="15" customHeight="1">
      <c r="A191" s="62" t="s">
        <v>18</v>
      </c>
      <c r="B191" s="62" t="s">
        <v>17</v>
      </c>
      <c r="C191" s="15" t="s">
        <v>254</v>
      </c>
      <c r="D191" s="14" t="s">
        <v>1005</v>
      </c>
      <c r="E191" s="14" t="s">
        <v>1314</v>
      </c>
      <c r="F191" s="14" t="s">
        <v>1315</v>
      </c>
      <c r="G191" s="10">
        <v>3</v>
      </c>
      <c r="H191" s="15" t="s">
        <v>30</v>
      </c>
      <c r="I191" s="14" t="s">
        <v>348</v>
      </c>
      <c r="J191" s="14" t="s">
        <v>289</v>
      </c>
    </row>
    <row r="192" spans="1:10" ht="15" customHeight="1">
      <c r="A192" s="62" t="s">
        <v>18</v>
      </c>
      <c r="B192" s="62" t="s">
        <v>17</v>
      </c>
      <c r="C192" s="15" t="s">
        <v>254</v>
      </c>
      <c r="D192" s="14" t="s">
        <v>1007</v>
      </c>
      <c r="E192" s="14" t="s">
        <v>1314</v>
      </c>
      <c r="F192" s="14" t="s">
        <v>1316</v>
      </c>
      <c r="G192" s="10">
        <v>1</v>
      </c>
      <c r="H192" s="15" t="s">
        <v>30</v>
      </c>
      <c r="I192" s="14" t="s">
        <v>348</v>
      </c>
      <c r="J192" s="14" t="s">
        <v>289</v>
      </c>
    </row>
    <row r="193" spans="1:10" ht="15" customHeight="1">
      <c r="A193" s="62" t="s">
        <v>18</v>
      </c>
      <c r="B193" s="62" t="s">
        <v>17</v>
      </c>
      <c r="C193" s="15" t="s">
        <v>254</v>
      </c>
      <c r="D193" s="14" t="s">
        <v>1009</v>
      </c>
      <c r="E193" s="14" t="s">
        <v>1314</v>
      </c>
      <c r="F193" s="14" t="s">
        <v>1317</v>
      </c>
      <c r="G193" s="10">
        <v>1</v>
      </c>
      <c r="H193" s="15" t="s">
        <v>30</v>
      </c>
      <c r="I193" s="14" t="s">
        <v>348</v>
      </c>
      <c r="J193" s="14" t="s">
        <v>289</v>
      </c>
    </row>
    <row r="194" spans="1:10" ht="15" customHeight="1">
      <c r="A194" s="62" t="s">
        <v>18</v>
      </c>
      <c r="B194" s="62" t="s">
        <v>17</v>
      </c>
      <c r="C194" s="15" t="s">
        <v>254</v>
      </c>
      <c r="D194" s="14" t="s">
        <v>1014</v>
      </c>
      <c r="E194" s="14" t="s">
        <v>1267</v>
      </c>
      <c r="F194" s="14" t="s">
        <v>1318</v>
      </c>
      <c r="G194" s="10">
        <v>2</v>
      </c>
      <c r="H194" s="15" t="s">
        <v>30</v>
      </c>
      <c r="I194" s="14" t="s">
        <v>348</v>
      </c>
      <c r="J194" s="14" t="s">
        <v>289</v>
      </c>
    </row>
    <row r="195" spans="1:10" ht="15" customHeight="1">
      <c r="A195" s="62" t="s">
        <v>18</v>
      </c>
      <c r="B195" s="62" t="s">
        <v>17</v>
      </c>
      <c r="C195" s="15" t="s">
        <v>254</v>
      </c>
      <c r="D195" s="14" t="s">
        <v>1016</v>
      </c>
      <c r="E195" s="14" t="s">
        <v>1267</v>
      </c>
      <c r="F195" s="14" t="s">
        <v>1319</v>
      </c>
      <c r="G195" s="10">
        <v>2</v>
      </c>
      <c r="H195" s="15" t="s">
        <v>30</v>
      </c>
      <c r="I195" s="14" t="s">
        <v>348</v>
      </c>
      <c r="J195" s="14" t="s">
        <v>289</v>
      </c>
    </row>
    <row r="196" spans="1:10" ht="15" customHeight="1">
      <c r="A196" s="62" t="s">
        <v>18</v>
      </c>
      <c r="B196" s="62" t="s">
        <v>17</v>
      </c>
      <c r="C196" s="15" t="s">
        <v>254</v>
      </c>
      <c r="D196" s="14" t="s">
        <v>1038</v>
      </c>
      <c r="E196" s="14" t="s">
        <v>1293</v>
      </c>
      <c r="F196" s="14" t="s">
        <v>1320</v>
      </c>
      <c r="G196" s="10">
        <v>0.5</v>
      </c>
      <c r="H196" s="15" t="s">
        <v>30</v>
      </c>
      <c r="I196" s="14" t="s">
        <v>348</v>
      </c>
      <c r="J196" s="14" t="s">
        <v>652</v>
      </c>
    </row>
    <row r="197" spans="1:10" ht="15" customHeight="1">
      <c r="F197" s="71" t="s">
        <v>1321</v>
      </c>
      <c r="G197" s="72">
        <f>SUM(G175:G196)</f>
        <v>42</v>
      </c>
    </row>
  </sheetData>
  <autoFilter ref="A3:J199" xr:uid="{00000000-0009-0000-0000-000006000000}"/>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35"/>
  <sheetViews>
    <sheetView showGridLines="0" zoomScaleNormal="100" workbookViewId="0"/>
  </sheetViews>
  <sheetFormatPr defaultColWidth="8.7109375" defaultRowHeight="15"/>
  <cols>
    <col min="1" max="1" width="5" customWidth="1"/>
    <col min="2" max="2" width="75" customWidth="1"/>
    <col min="3" max="3" width="10" customWidth="1"/>
    <col min="4" max="4" width="12" customWidth="1"/>
    <col min="5" max="5" width="18" customWidth="1"/>
    <col min="6" max="6" width="40" customWidth="1"/>
  </cols>
  <sheetData>
    <row r="1" spans="1:6" ht="15.75" customHeight="1">
      <c r="A1" s="13" t="s">
        <v>1322</v>
      </c>
    </row>
    <row r="2" spans="1:6" ht="26.25" customHeight="1">
      <c r="A2" s="25" t="s">
        <v>125</v>
      </c>
      <c r="B2" s="25" t="s">
        <v>1323</v>
      </c>
      <c r="C2" s="25" t="s">
        <v>1324</v>
      </c>
      <c r="D2" s="25" t="s">
        <v>1325</v>
      </c>
      <c r="E2" s="25" t="s">
        <v>1326</v>
      </c>
      <c r="F2" s="25" t="s">
        <v>129</v>
      </c>
    </row>
    <row r="3" spans="1:6" ht="23.25" customHeight="1">
      <c r="A3" s="15">
        <v>1</v>
      </c>
      <c r="B3" s="14" t="s">
        <v>1327</v>
      </c>
      <c r="C3" s="15" t="s">
        <v>151</v>
      </c>
      <c r="D3" s="15" t="s">
        <v>20</v>
      </c>
      <c r="E3" s="14" t="s">
        <v>1328</v>
      </c>
      <c r="F3" s="19"/>
    </row>
    <row r="4" spans="1:6" ht="23.25" customHeight="1">
      <c r="A4" s="15">
        <v>2</v>
      </c>
      <c r="B4" s="14" t="s">
        <v>1329</v>
      </c>
      <c r="C4" s="15" t="s">
        <v>151</v>
      </c>
      <c r="D4" s="15" t="s">
        <v>20</v>
      </c>
      <c r="E4" s="14" t="s">
        <v>1330</v>
      </c>
      <c r="F4" s="19"/>
    </row>
    <row r="5" spans="1:6" ht="15" customHeight="1">
      <c r="A5" s="15">
        <v>3</v>
      </c>
      <c r="B5" s="14" t="s">
        <v>1331</v>
      </c>
      <c r="C5" s="15" t="s">
        <v>285</v>
      </c>
      <c r="D5" s="15" t="s">
        <v>20</v>
      </c>
      <c r="E5" s="14" t="s">
        <v>1332</v>
      </c>
      <c r="F5" s="19" t="s">
        <v>1333</v>
      </c>
    </row>
    <row r="6" spans="1:6" ht="15" customHeight="1">
      <c r="A6" s="15">
        <v>4</v>
      </c>
      <c r="B6" s="14" t="s">
        <v>1334</v>
      </c>
      <c r="C6" s="15" t="s">
        <v>338</v>
      </c>
      <c r="D6" s="15" t="s">
        <v>20</v>
      </c>
      <c r="E6" s="14" t="s">
        <v>1335</v>
      </c>
      <c r="F6" s="19" t="s">
        <v>1336</v>
      </c>
    </row>
    <row r="7" spans="1:6" ht="15" customHeight="1">
      <c r="A7" s="15">
        <v>5</v>
      </c>
      <c r="B7" s="14" t="s">
        <v>1337</v>
      </c>
      <c r="C7" s="15" t="s">
        <v>402</v>
      </c>
      <c r="D7" s="15" t="s">
        <v>20</v>
      </c>
      <c r="E7" s="14" t="s">
        <v>1335</v>
      </c>
      <c r="F7" s="19"/>
    </row>
    <row r="8" spans="1:6" ht="15" customHeight="1">
      <c r="A8" s="15">
        <v>6</v>
      </c>
      <c r="B8" s="14" t="s">
        <v>1338</v>
      </c>
      <c r="C8" s="15" t="s">
        <v>290</v>
      </c>
      <c r="D8" s="15" t="s">
        <v>20</v>
      </c>
      <c r="E8" s="14" t="s">
        <v>1335</v>
      </c>
      <c r="F8" s="19"/>
    </row>
    <row r="9" spans="1:6" ht="23.25" customHeight="1">
      <c r="A9" s="15">
        <v>7</v>
      </c>
      <c r="B9" s="14" t="s">
        <v>1339</v>
      </c>
      <c r="C9" s="15" t="s">
        <v>500</v>
      </c>
      <c r="D9" s="15" t="s">
        <v>21</v>
      </c>
      <c r="E9" s="14" t="s">
        <v>1340</v>
      </c>
      <c r="F9" s="19" t="s">
        <v>1341</v>
      </c>
    </row>
    <row r="10" spans="1:6" ht="15" customHeight="1">
      <c r="A10" s="15">
        <v>8</v>
      </c>
      <c r="B10" s="14" t="s">
        <v>1342</v>
      </c>
      <c r="C10" s="15" t="s">
        <v>500</v>
      </c>
      <c r="D10" s="15" t="s">
        <v>22</v>
      </c>
      <c r="E10" s="14" t="s">
        <v>1340</v>
      </c>
      <c r="F10" s="19" t="s">
        <v>1343</v>
      </c>
    </row>
    <row r="11" spans="1:6" ht="15" customHeight="1">
      <c r="A11" s="15">
        <v>9</v>
      </c>
      <c r="B11" s="14" t="s">
        <v>1344</v>
      </c>
      <c r="C11" s="15" t="s">
        <v>613</v>
      </c>
      <c r="D11" s="15" t="s">
        <v>24</v>
      </c>
      <c r="E11" s="14" t="s">
        <v>1345</v>
      </c>
      <c r="F11" s="19"/>
    </row>
    <row r="12" spans="1:6" ht="15" customHeight="1">
      <c r="A12" s="15">
        <v>10</v>
      </c>
      <c r="B12" s="14" t="s">
        <v>1346</v>
      </c>
      <c r="C12" s="15" t="s">
        <v>1347</v>
      </c>
      <c r="D12" s="15" t="s">
        <v>23</v>
      </c>
      <c r="E12" s="14" t="s">
        <v>1348</v>
      </c>
      <c r="F12" s="19"/>
    </row>
    <row r="13" spans="1:6" ht="15" customHeight="1">
      <c r="A13" s="15">
        <v>11</v>
      </c>
      <c r="B13" s="14" t="s">
        <v>1349</v>
      </c>
      <c r="C13" s="15" t="s">
        <v>662</v>
      </c>
      <c r="D13" s="15" t="s">
        <v>231</v>
      </c>
      <c r="E13" s="14" t="s">
        <v>1340</v>
      </c>
      <c r="F13" s="19"/>
    </row>
    <row r="14" spans="1:6" ht="15" customHeight="1">
      <c r="A14" s="15">
        <v>12</v>
      </c>
      <c r="B14" s="14" t="s">
        <v>1350</v>
      </c>
      <c r="C14" s="15" t="s">
        <v>696</v>
      </c>
      <c r="D14" s="15" t="s">
        <v>231</v>
      </c>
      <c r="E14" s="14" t="s">
        <v>1340</v>
      </c>
      <c r="F14" s="19"/>
    </row>
    <row r="15" spans="1:6" ht="15" customHeight="1">
      <c r="A15" s="15">
        <v>13</v>
      </c>
      <c r="B15" s="14" t="s">
        <v>1351</v>
      </c>
      <c r="C15" s="15" t="s">
        <v>803</v>
      </c>
      <c r="D15" s="15" t="s">
        <v>238</v>
      </c>
      <c r="E15" s="14" t="s">
        <v>1352</v>
      </c>
      <c r="F15" s="19"/>
    </row>
    <row r="16" spans="1:6" ht="15" customHeight="1">
      <c r="A16" s="15">
        <v>14</v>
      </c>
      <c r="B16" s="14" t="s">
        <v>1353</v>
      </c>
      <c r="C16" s="15" t="s">
        <v>834</v>
      </c>
      <c r="D16" s="15" t="s">
        <v>242</v>
      </c>
      <c r="E16" s="14" t="s">
        <v>1348</v>
      </c>
      <c r="F16" s="19"/>
    </row>
    <row r="17" spans="1:6" ht="15" customHeight="1">
      <c r="A17" s="15">
        <v>15</v>
      </c>
      <c r="B17" s="14" t="s">
        <v>1354</v>
      </c>
      <c r="C17" s="15" t="s">
        <v>872</v>
      </c>
      <c r="D17" s="15" t="s">
        <v>25</v>
      </c>
      <c r="E17" s="14" t="s">
        <v>1355</v>
      </c>
      <c r="F17" s="19"/>
    </row>
    <row r="18" spans="1:6" ht="15" customHeight="1">
      <c r="A18" s="15">
        <v>16</v>
      </c>
      <c r="B18" s="14" t="s">
        <v>1356</v>
      </c>
      <c r="C18" s="15" t="s">
        <v>1357</v>
      </c>
      <c r="D18" s="15" t="s">
        <v>26</v>
      </c>
      <c r="E18" s="14" t="s">
        <v>1335</v>
      </c>
      <c r="F18" s="19"/>
    </row>
    <row r="20" spans="1:6" ht="15" customHeight="1">
      <c r="A20" s="7" t="s">
        <v>1358</v>
      </c>
    </row>
    <row r="21" spans="1:6" ht="15" customHeight="1">
      <c r="B21" s="35" t="s">
        <v>1359</v>
      </c>
    </row>
    <row r="22" spans="1:6" ht="15" customHeight="1">
      <c r="B22" s="35" t="s">
        <v>1360</v>
      </c>
    </row>
    <row r="23" spans="1:6" ht="15" customHeight="1">
      <c r="B23" s="35" t="s">
        <v>1361</v>
      </c>
    </row>
    <row r="24" spans="1:6" ht="15" customHeight="1">
      <c r="B24" s="35" t="s">
        <v>1362</v>
      </c>
    </row>
    <row r="25" spans="1:6" ht="15" customHeight="1">
      <c r="B25" s="35" t="s">
        <v>1363</v>
      </c>
    </row>
    <row r="26" spans="1:6" ht="15" customHeight="1">
      <c r="B26" s="35" t="s">
        <v>1364</v>
      </c>
    </row>
    <row r="28" spans="1:6" ht="15" customHeight="1">
      <c r="A28" s="7" t="s">
        <v>123</v>
      </c>
    </row>
    <row r="29" spans="1:6" ht="15" customHeight="1">
      <c r="B29" s="35" t="s">
        <v>1365</v>
      </c>
    </row>
    <row r="30" spans="1:6" ht="15" customHeight="1">
      <c r="B30" s="35" t="s">
        <v>1366</v>
      </c>
    </row>
    <row r="31" spans="1:6" ht="15" customHeight="1">
      <c r="B31" s="35" t="s">
        <v>1367</v>
      </c>
    </row>
    <row r="32" spans="1:6" ht="15" customHeight="1">
      <c r="B32" s="35" t="s">
        <v>1368</v>
      </c>
    </row>
    <row r="33" spans="2:2" ht="15" customHeight="1">
      <c r="B33" s="35" t="s">
        <v>1369</v>
      </c>
    </row>
    <row r="34" spans="2:2" ht="15" customHeight="1">
      <c r="B34" s="35" t="s">
        <v>1370</v>
      </c>
    </row>
    <row r="35" spans="2:2" ht="15" customHeight="1">
      <c r="B35" s="35" t="s">
        <v>1371</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10"/>
  <sheetViews>
    <sheetView showGridLines="0" zoomScaleNormal="100" workbookViewId="0"/>
  </sheetViews>
  <sheetFormatPr defaultColWidth="8.7109375" defaultRowHeight="15"/>
  <cols>
    <col min="1" max="1" width="130" customWidth="1"/>
  </cols>
  <sheetData>
    <row r="1" spans="1:1" ht="15.75" customHeight="1">
      <c r="A1" s="13" t="s">
        <v>1372</v>
      </c>
    </row>
    <row r="2" spans="1:1" ht="15" customHeight="1">
      <c r="A2" s="73" t="s">
        <v>1373</v>
      </c>
    </row>
    <row r="3" spans="1:1" ht="15" customHeight="1">
      <c r="A3" s="73" t="s">
        <v>1374</v>
      </c>
    </row>
    <row r="4" spans="1:1" ht="15" customHeight="1">
      <c r="A4" s="73" t="s">
        <v>1375</v>
      </c>
    </row>
    <row r="5" spans="1:1" ht="15" customHeight="1">
      <c r="A5" s="73" t="s">
        <v>1376</v>
      </c>
    </row>
    <row r="6" spans="1:1" ht="15" customHeight="1">
      <c r="A6" s="73" t="s">
        <v>1377</v>
      </c>
    </row>
    <row r="7" spans="1:1" ht="23.25" customHeight="1">
      <c r="A7" s="73" t="s">
        <v>1378</v>
      </c>
    </row>
    <row r="8" spans="1:1" ht="15" customHeight="1">
      <c r="A8" s="73" t="s">
        <v>1379</v>
      </c>
    </row>
    <row r="9" spans="1:1" ht="15" customHeight="1">
      <c r="A9" s="73" t="s">
        <v>1380</v>
      </c>
    </row>
    <row r="10" spans="1:1" ht="15" customHeight="1">
      <c r="A10" s="73" t="s">
        <v>1381</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9"/>
  <sheetViews>
    <sheetView showGridLines="0" zoomScaleNormal="100" workbookViewId="0"/>
  </sheetViews>
  <sheetFormatPr defaultColWidth="8.7109375" defaultRowHeight="15"/>
  <cols>
    <col min="1" max="1" width="125" customWidth="1"/>
  </cols>
  <sheetData>
    <row r="1" spans="1:1" ht="15" customHeight="1">
      <c r="A1" s="7" t="s">
        <v>1382</v>
      </c>
    </row>
    <row r="2" spans="1:1" ht="15" customHeight="1">
      <c r="A2" s="74" t="s">
        <v>1383</v>
      </c>
    </row>
    <row r="3" spans="1:1" ht="15" customHeight="1">
      <c r="A3" s="74" t="s">
        <v>1384</v>
      </c>
    </row>
    <row r="4" spans="1:1" ht="15" customHeight="1">
      <c r="A4" s="74" t="s">
        <v>1385</v>
      </c>
    </row>
    <row r="5" spans="1:1" ht="15" customHeight="1">
      <c r="A5" s="74" t="s">
        <v>1386</v>
      </c>
    </row>
    <row r="6" spans="1:1" ht="15" customHeight="1">
      <c r="A6" s="74" t="s">
        <v>1387</v>
      </c>
    </row>
    <row r="7" spans="1:1" ht="15" customHeight="1">
      <c r="A7" s="74" t="s">
        <v>1388</v>
      </c>
    </row>
    <row r="8" spans="1:1" ht="15" customHeight="1">
      <c r="A8" s="74" t="s">
        <v>1389</v>
      </c>
    </row>
    <row r="9" spans="1:1" ht="15" customHeight="1">
      <c r="A9" s="75" t="s">
        <v>1390</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Utilisateur invité</cp:lastModifiedBy>
  <cp:revision>0</cp:revision>
  <dcterms:created xsi:type="dcterms:W3CDTF">2026-10-01T16:16:35Z</dcterms:created>
  <dcterms:modified xsi:type="dcterms:W3CDTF">2026-10-02T15:38:51Z</dcterms:modified>
  <cp:category/>
  <cp:contentStatus/>
</cp:coreProperties>
</file>